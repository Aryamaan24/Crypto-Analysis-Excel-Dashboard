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KIIT\Desktop\crypto_project\"/>
    </mc:Choice>
  </mc:AlternateContent>
  <bookViews>
    <workbookView xWindow="0" yWindow="0" windowWidth="19200" windowHeight="8390" activeTab="1"/>
  </bookViews>
  <sheets>
    <sheet name="coinmarketcap_crypto_data (1)" sheetId="1" r:id="rId1"/>
    <sheet name="cleaned_data" sheetId="2" r:id="rId2"/>
    <sheet name="new_data" sheetId="13" r:id="rId3"/>
    <sheet name="Task 2" sheetId="9" r:id="rId4"/>
    <sheet name="Task 3" sheetId="14" r:id="rId5"/>
    <sheet name="task 4" sheetId="19" r:id="rId6"/>
    <sheet name="Task 5" sheetId="20" r:id="rId7"/>
    <sheet name="task 6" sheetId="21" r:id="rId8"/>
    <sheet name="ashboard 2" sheetId="23" r:id="rId9"/>
  </sheets>
  <definedNames>
    <definedName name="_xlcn.WorksheetConnection_coinmarketcap_crypto_data1designAutosavedDashboard.xlsxCryptoTable1" hidden="1">CryptoTable[]</definedName>
    <definedName name="CoinList">#REF!</definedName>
    <definedName name="ExternalData_1" localSheetId="1" hidden="1">cleaned_data!$A$1:$H$201</definedName>
    <definedName name="Slicer_Price_Category">#N/A</definedName>
    <definedName name="Slicer_price_range1">#N/A</definedName>
    <definedName name="Slicer_Price_Range2">#N/A</definedName>
    <definedName name="Slicer_Price_range21">#N/A</definedName>
  </definedNames>
  <calcPr calcId="152511"/>
  <pivotCaches>
    <pivotCache cacheId="7" r:id="rId10"/>
    <pivotCache cacheId="8" r:id="rId11"/>
    <pivotCache cacheId="9" r:id="rId12"/>
    <pivotCache cacheId="10" r:id="rId13"/>
    <pivotCache cacheId="17" r:id="rId14"/>
    <pivotCache cacheId="12" r:id="rId15"/>
    <pivotCache cacheId="13" r:id="rId16"/>
  </pivotCaches>
  <extLst>
    <ext xmlns:x14="http://schemas.microsoft.com/office/spreadsheetml/2009/9/main" uri="{876F7934-8845-4945-9796-88D515C7AA90}">
      <x14:pivotCaches>
        <pivotCache cacheId="14" r:id="rId17"/>
        <pivotCache cacheId="15" r:id="rId18"/>
      </x14:pivotCaches>
    </ext>
    <ext xmlns:x14="http://schemas.microsoft.com/office/spreadsheetml/2009/9/main" uri="{BBE1A952-AA13-448e-AADC-164F8A28A991}">
      <x14:slicerCaches>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ryptoTable-f872971a-4c0a-4f5a-bd2c-8b00836b95b5" name="CryptoTable" connection="WorksheetConnection_coinmarketcap_crypto_data (1)(design (Autosaved) Dashboard.xlsx!CryptoTable"/>
        </x15:modelTables>
      </x15:dataModel>
    </ext>
  </extLst>
</workbook>
</file>

<file path=xl/calcChain.xml><?xml version="1.0" encoding="utf-8"?>
<calcChain xmlns="http://schemas.openxmlformats.org/spreadsheetml/2006/main">
  <c r="L23" i="21" l="1"/>
  <c r="L20" i="21"/>
  <c r="J20" i="21"/>
  <c r="J26" i="21" s="1"/>
  <c r="K2"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J2" i="13"/>
  <c r="J3" i="13"/>
  <c r="J4" i="13"/>
  <c r="J5"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J141" i="13"/>
  <c r="J142" i="13"/>
  <c r="J143" i="13"/>
  <c r="J144" i="13"/>
  <c r="J145" i="13"/>
  <c r="J146" i="13"/>
  <c r="J147" i="13"/>
  <c r="J148" i="13"/>
  <c r="J149" i="13"/>
  <c r="J150" i="13"/>
  <c r="J151" i="13"/>
  <c r="J152" i="13"/>
  <c r="J153" i="13"/>
  <c r="J154" i="13"/>
  <c r="J155" i="13"/>
  <c r="J156" i="13"/>
  <c r="J157" i="13"/>
  <c r="J158" i="13"/>
  <c r="J159" i="13"/>
  <c r="J160" i="13"/>
  <c r="J161" i="13"/>
  <c r="J162" i="13"/>
  <c r="J163" i="13"/>
  <c r="J164" i="13"/>
  <c r="J165" i="13"/>
  <c r="J166" i="13"/>
  <c r="J167" i="13"/>
  <c r="J168" i="13"/>
  <c r="J169" i="13"/>
  <c r="J170" i="13"/>
  <c r="J171" i="13"/>
  <c r="J172" i="13"/>
  <c r="J173" i="13"/>
  <c r="J174" i="13"/>
  <c r="J175" i="13"/>
  <c r="J176" i="13"/>
  <c r="J177" i="13"/>
  <c r="J178" i="13"/>
  <c r="J179" i="13"/>
  <c r="J180" i="13"/>
  <c r="J181" i="13"/>
  <c r="J182" i="13"/>
  <c r="J183" i="13"/>
  <c r="J184" i="13"/>
  <c r="J185" i="13"/>
  <c r="J186" i="13"/>
  <c r="J187" i="13"/>
  <c r="J188" i="13"/>
  <c r="J189" i="13"/>
  <c r="J190" i="13"/>
  <c r="J191" i="13"/>
  <c r="J192" i="13"/>
  <c r="J193" i="13"/>
  <c r="J194" i="13"/>
  <c r="J195" i="13"/>
  <c r="J196" i="13"/>
  <c r="J197" i="13"/>
  <c r="J198" i="13"/>
  <c r="J199" i="13"/>
  <c r="J200" i="13"/>
  <c r="J201" i="13"/>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J23" i="21" l="1"/>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I2" i="13"/>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H2" i="13"/>
  <c r="H3" i="13"/>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G2" i="13"/>
  <c r="G3" i="13"/>
  <c r="G4" i="13"/>
  <c r="G5" i="13"/>
  <c r="G6" i="13"/>
  <c r="G7" i="13"/>
  <c r="G8" i="13"/>
  <c r="G9" i="13"/>
  <c r="G10"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F2" i="13"/>
  <c r="F3" i="13"/>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F198" i="13"/>
  <c r="F199" i="13"/>
  <c r="F200" i="13"/>
  <c r="F201" i="13"/>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L2" i="2"/>
  <c r="M2" i="2" s="1"/>
  <c r="L3" i="2"/>
  <c r="M3" i="2" s="1"/>
  <c r="L4" i="2"/>
  <c r="M4" i="2" s="1"/>
  <c r="L5" i="2"/>
  <c r="M5" i="2" s="1"/>
  <c r="L6" i="2"/>
  <c r="M6" i="2" s="1"/>
  <c r="L7" i="2"/>
  <c r="M7" i="2" s="1"/>
  <c r="L8" i="2"/>
  <c r="M8" i="2" s="1"/>
  <c r="L9" i="2"/>
  <c r="M9" i="2" s="1"/>
  <c r="L10" i="2"/>
  <c r="M10" i="2" s="1"/>
  <c r="L11" i="2"/>
  <c r="M11" i="2" s="1"/>
  <c r="L12" i="2"/>
  <c r="M12" i="2" s="1"/>
  <c r="L13" i="2"/>
  <c r="M13" i="2" s="1"/>
  <c r="L14" i="2"/>
  <c r="M14" i="2" s="1"/>
  <c r="L15" i="2"/>
  <c r="M15" i="2" s="1"/>
  <c r="L16" i="2"/>
  <c r="M16" i="2" s="1"/>
  <c r="L17" i="2"/>
  <c r="M17" i="2" s="1"/>
  <c r="L18" i="2"/>
  <c r="M18" i="2" s="1"/>
  <c r="L19" i="2"/>
  <c r="M19" i="2" s="1"/>
  <c r="L20" i="2"/>
  <c r="M20" i="2" s="1"/>
  <c r="L21" i="2"/>
  <c r="M21" i="2" s="1"/>
  <c r="L22" i="2"/>
  <c r="M22" i="2" s="1"/>
  <c r="L23" i="2"/>
  <c r="M23" i="2" s="1"/>
  <c r="L24" i="2"/>
  <c r="M24" i="2" s="1"/>
  <c r="L25" i="2"/>
  <c r="M25" i="2" s="1"/>
  <c r="L26" i="2"/>
  <c r="M26" i="2" s="1"/>
  <c r="L27" i="2"/>
  <c r="M27" i="2" s="1"/>
  <c r="L28" i="2"/>
  <c r="M28" i="2" s="1"/>
  <c r="L29" i="2"/>
  <c r="M29" i="2" s="1"/>
  <c r="L30" i="2"/>
  <c r="M30" i="2" s="1"/>
  <c r="L31" i="2"/>
  <c r="M31" i="2" s="1"/>
  <c r="L32" i="2"/>
  <c r="M32" i="2" s="1"/>
  <c r="L33" i="2"/>
  <c r="M33" i="2" s="1"/>
  <c r="L34" i="2"/>
  <c r="M34" i="2" s="1"/>
  <c r="L35" i="2"/>
  <c r="M35" i="2" s="1"/>
  <c r="L36" i="2"/>
  <c r="M36" i="2" s="1"/>
  <c r="L37" i="2"/>
  <c r="M37" i="2" s="1"/>
  <c r="L38" i="2"/>
  <c r="M38" i="2" s="1"/>
  <c r="L39" i="2"/>
  <c r="M39" i="2" s="1"/>
  <c r="L40" i="2"/>
  <c r="M40" i="2" s="1"/>
  <c r="L41" i="2"/>
  <c r="M41" i="2" s="1"/>
  <c r="L42" i="2"/>
  <c r="M42" i="2" s="1"/>
  <c r="L43" i="2"/>
  <c r="M43" i="2" s="1"/>
  <c r="L44" i="2"/>
  <c r="M44" i="2" s="1"/>
  <c r="L45" i="2"/>
  <c r="M45" i="2" s="1"/>
  <c r="L46" i="2"/>
  <c r="M46" i="2" s="1"/>
  <c r="L47" i="2"/>
  <c r="M47" i="2" s="1"/>
  <c r="L48" i="2"/>
  <c r="M48" i="2" s="1"/>
  <c r="L49" i="2"/>
  <c r="M49" i="2" s="1"/>
  <c r="L50" i="2"/>
  <c r="M50" i="2" s="1"/>
  <c r="L51" i="2"/>
  <c r="M51" i="2" s="1"/>
  <c r="L52" i="2"/>
  <c r="M52" i="2" s="1"/>
  <c r="L53" i="2"/>
  <c r="M53" i="2" s="1"/>
  <c r="L54" i="2"/>
  <c r="M54" i="2" s="1"/>
  <c r="L55" i="2"/>
  <c r="M55" i="2" s="1"/>
  <c r="L56" i="2"/>
  <c r="M56" i="2" s="1"/>
  <c r="L57" i="2"/>
  <c r="M57" i="2" s="1"/>
  <c r="L58" i="2"/>
  <c r="M58" i="2" s="1"/>
  <c r="L59" i="2"/>
  <c r="M59" i="2" s="1"/>
  <c r="L60" i="2"/>
  <c r="M60" i="2" s="1"/>
  <c r="L61" i="2"/>
  <c r="M61" i="2" s="1"/>
  <c r="L62" i="2"/>
  <c r="M62" i="2" s="1"/>
  <c r="L63" i="2"/>
  <c r="M63" i="2" s="1"/>
  <c r="L64" i="2"/>
  <c r="M64" i="2" s="1"/>
  <c r="L65" i="2"/>
  <c r="M65" i="2" s="1"/>
  <c r="L66" i="2"/>
  <c r="M66" i="2" s="1"/>
  <c r="L67" i="2"/>
  <c r="M67" i="2" s="1"/>
  <c r="L68" i="2"/>
  <c r="M68" i="2" s="1"/>
  <c r="L69" i="2"/>
  <c r="M69" i="2" s="1"/>
  <c r="L70" i="2"/>
  <c r="M70" i="2" s="1"/>
  <c r="L71" i="2"/>
  <c r="M71" i="2" s="1"/>
  <c r="L72" i="2"/>
  <c r="M72" i="2" s="1"/>
  <c r="L73" i="2"/>
  <c r="M73" i="2" s="1"/>
  <c r="L74" i="2"/>
  <c r="M74" i="2" s="1"/>
  <c r="L75" i="2"/>
  <c r="M75" i="2" s="1"/>
  <c r="L76" i="2"/>
  <c r="M76" i="2" s="1"/>
  <c r="L77" i="2"/>
  <c r="M77" i="2" s="1"/>
  <c r="L78" i="2"/>
  <c r="M78" i="2" s="1"/>
  <c r="L79" i="2"/>
  <c r="M79" i="2" s="1"/>
  <c r="L80" i="2"/>
  <c r="M80" i="2" s="1"/>
  <c r="L81" i="2"/>
  <c r="M81" i="2" s="1"/>
  <c r="L82" i="2"/>
  <c r="M82" i="2" s="1"/>
  <c r="L83" i="2"/>
  <c r="M83" i="2" s="1"/>
  <c r="L84" i="2"/>
  <c r="M84" i="2" s="1"/>
  <c r="L85" i="2"/>
  <c r="M85" i="2" s="1"/>
  <c r="L86" i="2"/>
  <c r="M86" i="2" s="1"/>
  <c r="L87" i="2"/>
  <c r="M87" i="2" s="1"/>
  <c r="L88" i="2"/>
  <c r="M88" i="2" s="1"/>
  <c r="L89" i="2"/>
  <c r="M89" i="2" s="1"/>
  <c r="L90" i="2"/>
  <c r="M90" i="2" s="1"/>
  <c r="L91" i="2"/>
  <c r="M91" i="2" s="1"/>
  <c r="L92" i="2"/>
  <c r="M92" i="2" s="1"/>
  <c r="L93" i="2"/>
  <c r="M93" i="2" s="1"/>
  <c r="L94" i="2"/>
  <c r="M94" i="2" s="1"/>
  <c r="L95" i="2"/>
  <c r="M95" i="2" s="1"/>
  <c r="L96" i="2"/>
  <c r="M96" i="2" s="1"/>
  <c r="L97" i="2"/>
  <c r="M97" i="2" s="1"/>
  <c r="L98" i="2"/>
  <c r="M98" i="2" s="1"/>
  <c r="L99" i="2"/>
  <c r="M99" i="2" s="1"/>
  <c r="L100" i="2"/>
  <c r="M100" i="2" s="1"/>
  <c r="L101" i="2"/>
  <c r="M101" i="2" s="1"/>
  <c r="L102" i="2"/>
  <c r="M102" i="2" s="1"/>
  <c r="L103" i="2"/>
  <c r="M103" i="2" s="1"/>
  <c r="L104" i="2"/>
  <c r="M104" i="2" s="1"/>
  <c r="L105" i="2"/>
  <c r="M105" i="2" s="1"/>
  <c r="L106" i="2"/>
  <c r="M106" i="2" s="1"/>
  <c r="L107" i="2"/>
  <c r="M107" i="2" s="1"/>
  <c r="L108" i="2"/>
  <c r="M108" i="2" s="1"/>
  <c r="L109" i="2"/>
  <c r="M109" i="2" s="1"/>
  <c r="L110" i="2"/>
  <c r="M110" i="2" s="1"/>
  <c r="L111" i="2"/>
  <c r="M111" i="2" s="1"/>
  <c r="L112" i="2"/>
  <c r="M112" i="2" s="1"/>
  <c r="L113" i="2"/>
  <c r="M113" i="2" s="1"/>
  <c r="L114" i="2"/>
  <c r="M114" i="2" s="1"/>
  <c r="L115" i="2"/>
  <c r="M115" i="2" s="1"/>
  <c r="L116" i="2"/>
  <c r="M116" i="2" s="1"/>
  <c r="L117" i="2"/>
  <c r="M117" i="2" s="1"/>
  <c r="L118" i="2"/>
  <c r="M118" i="2" s="1"/>
  <c r="L119" i="2"/>
  <c r="M119" i="2" s="1"/>
  <c r="L120" i="2"/>
  <c r="M120" i="2" s="1"/>
  <c r="L121" i="2"/>
  <c r="M121" i="2" s="1"/>
  <c r="L122" i="2"/>
  <c r="M122" i="2" s="1"/>
  <c r="L123" i="2"/>
  <c r="M123" i="2" s="1"/>
  <c r="L124" i="2"/>
  <c r="M124" i="2" s="1"/>
  <c r="L125" i="2"/>
  <c r="M125" i="2" s="1"/>
  <c r="L126" i="2"/>
  <c r="M126" i="2" s="1"/>
  <c r="L127" i="2"/>
  <c r="M127" i="2" s="1"/>
  <c r="L128" i="2"/>
  <c r="M128" i="2" s="1"/>
  <c r="L129" i="2"/>
  <c r="M129" i="2" s="1"/>
  <c r="L130" i="2"/>
  <c r="M130" i="2" s="1"/>
  <c r="L131" i="2"/>
  <c r="M131" i="2" s="1"/>
  <c r="L132" i="2"/>
  <c r="M132" i="2" s="1"/>
  <c r="L133" i="2"/>
  <c r="M133" i="2" s="1"/>
  <c r="L134" i="2"/>
  <c r="M134" i="2" s="1"/>
  <c r="L135" i="2"/>
  <c r="M135" i="2" s="1"/>
  <c r="L136" i="2"/>
  <c r="M136" i="2" s="1"/>
  <c r="L137" i="2"/>
  <c r="M137" i="2" s="1"/>
  <c r="L138" i="2"/>
  <c r="M138" i="2" s="1"/>
  <c r="L139" i="2"/>
  <c r="M139" i="2" s="1"/>
  <c r="L140" i="2"/>
  <c r="M140" i="2" s="1"/>
  <c r="L141" i="2"/>
  <c r="M141" i="2" s="1"/>
  <c r="L142" i="2"/>
  <c r="M142" i="2" s="1"/>
  <c r="L143" i="2"/>
  <c r="M143" i="2" s="1"/>
  <c r="L144" i="2"/>
  <c r="M144" i="2" s="1"/>
  <c r="L145" i="2"/>
  <c r="M145" i="2" s="1"/>
  <c r="L146" i="2"/>
  <c r="M146" i="2" s="1"/>
  <c r="L147" i="2"/>
  <c r="M147" i="2" s="1"/>
  <c r="L148" i="2"/>
  <c r="M148" i="2" s="1"/>
  <c r="L149" i="2"/>
  <c r="M149" i="2" s="1"/>
  <c r="L150" i="2"/>
  <c r="M150" i="2" s="1"/>
  <c r="L151" i="2"/>
  <c r="M151" i="2" s="1"/>
  <c r="L152" i="2"/>
  <c r="M152" i="2" s="1"/>
  <c r="L153" i="2"/>
  <c r="M153" i="2" s="1"/>
  <c r="L154" i="2"/>
  <c r="M154" i="2" s="1"/>
  <c r="L155" i="2"/>
  <c r="M155" i="2" s="1"/>
  <c r="L156" i="2"/>
  <c r="M156" i="2" s="1"/>
  <c r="L157" i="2"/>
  <c r="M157" i="2" s="1"/>
  <c r="L158" i="2"/>
  <c r="M158" i="2" s="1"/>
  <c r="L159" i="2"/>
  <c r="M159" i="2" s="1"/>
  <c r="L160" i="2"/>
  <c r="M160" i="2" s="1"/>
  <c r="L161" i="2"/>
  <c r="M161" i="2" s="1"/>
  <c r="L162" i="2"/>
  <c r="M162" i="2" s="1"/>
  <c r="L163" i="2"/>
  <c r="M163" i="2" s="1"/>
  <c r="L164" i="2"/>
  <c r="M164" i="2" s="1"/>
  <c r="L165" i="2"/>
  <c r="M165" i="2" s="1"/>
  <c r="L166" i="2"/>
  <c r="M166" i="2" s="1"/>
  <c r="L167" i="2"/>
  <c r="M167" i="2" s="1"/>
  <c r="L168" i="2"/>
  <c r="M168" i="2" s="1"/>
  <c r="L169" i="2"/>
  <c r="M169" i="2" s="1"/>
  <c r="L170" i="2"/>
  <c r="M170" i="2" s="1"/>
  <c r="L171" i="2"/>
  <c r="M171" i="2" s="1"/>
  <c r="L172" i="2"/>
  <c r="M172" i="2" s="1"/>
  <c r="L173" i="2"/>
  <c r="M173" i="2" s="1"/>
  <c r="L174" i="2"/>
  <c r="M174" i="2" s="1"/>
  <c r="L175" i="2"/>
  <c r="M175" i="2" s="1"/>
  <c r="L176" i="2"/>
  <c r="M176" i="2" s="1"/>
  <c r="L177" i="2"/>
  <c r="M177" i="2" s="1"/>
  <c r="L178" i="2"/>
  <c r="M178" i="2" s="1"/>
  <c r="L179" i="2"/>
  <c r="M179" i="2" s="1"/>
  <c r="L180" i="2"/>
  <c r="M180" i="2" s="1"/>
  <c r="L181" i="2"/>
  <c r="M181" i="2" s="1"/>
  <c r="L182" i="2"/>
  <c r="M182" i="2" s="1"/>
  <c r="L183" i="2"/>
  <c r="M183" i="2" s="1"/>
  <c r="L184" i="2"/>
  <c r="M184" i="2" s="1"/>
  <c r="L185" i="2"/>
  <c r="M185" i="2" s="1"/>
  <c r="L186" i="2"/>
  <c r="M186" i="2" s="1"/>
  <c r="L187" i="2"/>
  <c r="M187" i="2" s="1"/>
  <c r="L188" i="2"/>
  <c r="M188" i="2" s="1"/>
  <c r="L189" i="2"/>
  <c r="M189" i="2" s="1"/>
  <c r="L190" i="2"/>
  <c r="M190" i="2" s="1"/>
  <c r="L191" i="2"/>
  <c r="M191" i="2" s="1"/>
  <c r="L192" i="2"/>
  <c r="M192" i="2" s="1"/>
  <c r="L193" i="2"/>
  <c r="M193" i="2" s="1"/>
  <c r="L194" i="2"/>
  <c r="M194" i="2" s="1"/>
  <c r="L195" i="2"/>
  <c r="M195" i="2" s="1"/>
  <c r="L196" i="2"/>
  <c r="M196" i="2" s="1"/>
  <c r="L197" i="2"/>
  <c r="M197" i="2" s="1"/>
  <c r="L198" i="2"/>
  <c r="M198" i="2" s="1"/>
  <c r="L199" i="2"/>
  <c r="M199" i="2" s="1"/>
  <c r="L200" i="2"/>
  <c r="M200" i="2" s="1"/>
  <c r="L201" i="2"/>
  <c r="M201" i="2" s="1"/>
  <c r="K2" i="2" l="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J2" i="2"/>
  <c r="P2" i="2" s="1"/>
  <c r="J3" i="2"/>
  <c r="P3" i="2" s="1"/>
  <c r="J4" i="2"/>
  <c r="P4" i="2" s="1"/>
  <c r="J5" i="2"/>
  <c r="P5" i="2" s="1"/>
  <c r="J6" i="2"/>
  <c r="P6" i="2" s="1"/>
  <c r="J7" i="2"/>
  <c r="P7" i="2" s="1"/>
  <c r="J8" i="2"/>
  <c r="P8" i="2" s="1"/>
  <c r="J9" i="2"/>
  <c r="P9" i="2" s="1"/>
  <c r="J10" i="2"/>
  <c r="P10" i="2" s="1"/>
  <c r="J11" i="2"/>
  <c r="P11" i="2" s="1"/>
  <c r="J12" i="2"/>
  <c r="P12" i="2" s="1"/>
  <c r="J13" i="2"/>
  <c r="P13" i="2" s="1"/>
  <c r="J14" i="2"/>
  <c r="P14" i="2" s="1"/>
  <c r="J15" i="2"/>
  <c r="P15" i="2" s="1"/>
  <c r="J16" i="2"/>
  <c r="P16" i="2" s="1"/>
  <c r="J17" i="2"/>
  <c r="P17" i="2" s="1"/>
  <c r="J18" i="2"/>
  <c r="P18" i="2" s="1"/>
  <c r="J19" i="2"/>
  <c r="P19" i="2" s="1"/>
  <c r="J20" i="2"/>
  <c r="P20" i="2" s="1"/>
  <c r="J21" i="2"/>
  <c r="P21" i="2" s="1"/>
  <c r="J22" i="2"/>
  <c r="P22" i="2" s="1"/>
  <c r="J23" i="2"/>
  <c r="P23" i="2" s="1"/>
  <c r="J24" i="2"/>
  <c r="P24" i="2" s="1"/>
  <c r="J25" i="2"/>
  <c r="P25" i="2" s="1"/>
  <c r="J26" i="2"/>
  <c r="P26" i="2" s="1"/>
  <c r="J27" i="2"/>
  <c r="P27" i="2" s="1"/>
  <c r="J28" i="2"/>
  <c r="P28" i="2" s="1"/>
  <c r="J29" i="2"/>
  <c r="P29" i="2" s="1"/>
  <c r="J30" i="2"/>
  <c r="P30" i="2" s="1"/>
  <c r="J31" i="2"/>
  <c r="P31" i="2" s="1"/>
  <c r="J32" i="2"/>
  <c r="P32" i="2" s="1"/>
  <c r="J33" i="2"/>
  <c r="P33" i="2" s="1"/>
  <c r="J34" i="2"/>
  <c r="P34" i="2" s="1"/>
  <c r="J35" i="2"/>
  <c r="P35" i="2" s="1"/>
  <c r="J36" i="2"/>
  <c r="P36" i="2" s="1"/>
  <c r="J37" i="2"/>
  <c r="P37" i="2" s="1"/>
  <c r="J38" i="2"/>
  <c r="P38" i="2" s="1"/>
  <c r="J39" i="2"/>
  <c r="P39" i="2" s="1"/>
  <c r="J40" i="2"/>
  <c r="P40" i="2" s="1"/>
  <c r="J41" i="2"/>
  <c r="P41" i="2" s="1"/>
  <c r="J42" i="2"/>
  <c r="P42" i="2" s="1"/>
  <c r="J43" i="2"/>
  <c r="P43" i="2" s="1"/>
  <c r="J44" i="2"/>
  <c r="P44" i="2" s="1"/>
  <c r="J45" i="2"/>
  <c r="P45" i="2" s="1"/>
  <c r="J46" i="2"/>
  <c r="P46" i="2" s="1"/>
  <c r="J47" i="2"/>
  <c r="P47" i="2" s="1"/>
  <c r="J48" i="2"/>
  <c r="P48" i="2" s="1"/>
  <c r="J49" i="2"/>
  <c r="P49" i="2" s="1"/>
  <c r="J50" i="2"/>
  <c r="P50" i="2" s="1"/>
  <c r="J51" i="2"/>
  <c r="P51" i="2" s="1"/>
  <c r="J52" i="2"/>
  <c r="P52" i="2" s="1"/>
  <c r="J53" i="2"/>
  <c r="P53" i="2" s="1"/>
  <c r="J54" i="2"/>
  <c r="P54" i="2" s="1"/>
  <c r="J55" i="2"/>
  <c r="P55" i="2" s="1"/>
  <c r="J56" i="2"/>
  <c r="P56" i="2" s="1"/>
  <c r="J57" i="2"/>
  <c r="P57" i="2" s="1"/>
  <c r="J58" i="2"/>
  <c r="P58" i="2" s="1"/>
  <c r="J59" i="2"/>
  <c r="P59" i="2" s="1"/>
  <c r="J60" i="2"/>
  <c r="P60" i="2" s="1"/>
  <c r="J61" i="2"/>
  <c r="P61" i="2" s="1"/>
  <c r="J62" i="2"/>
  <c r="P62" i="2" s="1"/>
  <c r="J63" i="2"/>
  <c r="P63" i="2" s="1"/>
  <c r="J64" i="2"/>
  <c r="P64" i="2" s="1"/>
  <c r="J65" i="2"/>
  <c r="P65" i="2" s="1"/>
  <c r="J66" i="2"/>
  <c r="P66" i="2" s="1"/>
  <c r="J67" i="2"/>
  <c r="P67" i="2" s="1"/>
  <c r="J68" i="2"/>
  <c r="P68" i="2" s="1"/>
  <c r="J69" i="2"/>
  <c r="P69" i="2" s="1"/>
  <c r="J70" i="2"/>
  <c r="P70" i="2" s="1"/>
  <c r="J71" i="2"/>
  <c r="P71" i="2" s="1"/>
  <c r="J72" i="2"/>
  <c r="P72" i="2" s="1"/>
  <c r="J73" i="2"/>
  <c r="P73" i="2" s="1"/>
  <c r="J74" i="2"/>
  <c r="P74" i="2" s="1"/>
  <c r="J75" i="2"/>
  <c r="P75" i="2" s="1"/>
  <c r="J76" i="2"/>
  <c r="P76" i="2" s="1"/>
  <c r="J77" i="2"/>
  <c r="P77" i="2" s="1"/>
  <c r="J78" i="2"/>
  <c r="P78" i="2" s="1"/>
  <c r="J79" i="2"/>
  <c r="P79" i="2" s="1"/>
  <c r="J80" i="2"/>
  <c r="P80" i="2" s="1"/>
  <c r="J81" i="2"/>
  <c r="P81" i="2" s="1"/>
  <c r="J82" i="2"/>
  <c r="P82" i="2" s="1"/>
  <c r="J83" i="2"/>
  <c r="P83" i="2" s="1"/>
  <c r="J84" i="2"/>
  <c r="P84" i="2" s="1"/>
  <c r="J85" i="2"/>
  <c r="P85" i="2" s="1"/>
  <c r="J86" i="2"/>
  <c r="P86" i="2" s="1"/>
  <c r="J87" i="2"/>
  <c r="P87" i="2" s="1"/>
  <c r="J88" i="2"/>
  <c r="P88" i="2" s="1"/>
  <c r="J89" i="2"/>
  <c r="P89" i="2" s="1"/>
  <c r="J90" i="2"/>
  <c r="P90" i="2" s="1"/>
  <c r="J91" i="2"/>
  <c r="P91" i="2" s="1"/>
  <c r="J92" i="2"/>
  <c r="P92" i="2" s="1"/>
  <c r="J93" i="2"/>
  <c r="P93" i="2" s="1"/>
  <c r="J94" i="2"/>
  <c r="P94" i="2" s="1"/>
  <c r="J95" i="2"/>
  <c r="P95" i="2" s="1"/>
  <c r="J96" i="2"/>
  <c r="P96" i="2" s="1"/>
  <c r="J97" i="2"/>
  <c r="P97" i="2" s="1"/>
  <c r="J98" i="2"/>
  <c r="P98" i="2" s="1"/>
  <c r="J99" i="2"/>
  <c r="P99" i="2" s="1"/>
  <c r="J100" i="2"/>
  <c r="P100" i="2" s="1"/>
  <c r="J101" i="2"/>
  <c r="P101" i="2" s="1"/>
  <c r="J102" i="2"/>
  <c r="P102" i="2" s="1"/>
  <c r="J103" i="2"/>
  <c r="P103" i="2" s="1"/>
  <c r="J104" i="2"/>
  <c r="P104" i="2" s="1"/>
  <c r="J105" i="2"/>
  <c r="P105" i="2" s="1"/>
  <c r="J106" i="2"/>
  <c r="P106" i="2" s="1"/>
  <c r="J107" i="2"/>
  <c r="P107" i="2" s="1"/>
  <c r="J108" i="2"/>
  <c r="P108" i="2" s="1"/>
  <c r="J109" i="2"/>
  <c r="P109" i="2" s="1"/>
  <c r="J110" i="2"/>
  <c r="P110" i="2" s="1"/>
  <c r="J111" i="2"/>
  <c r="P111" i="2" s="1"/>
  <c r="J112" i="2"/>
  <c r="P112" i="2" s="1"/>
  <c r="J113" i="2"/>
  <c r="P113" i="2" s="1"/>
  <c r="J114" i="2"/>
  <c r="P114" i="2" s="1"/>
  <c r="J115" i="2"/>
  <c r="P115" i="2" s="1"/>
  <c r="J116" i="2"/>
  <c r="P116" i="2" s="1"/>
  <c r="J117" i="2"/>
  <c r="P117" i="2" s="1"/>
  <c r="J118" i="2"/>
  <c r="P118" i="2" s="1"/>
  <c r="J119" i="2"/>
  <c r="P119" i="2" s="1"/>
  <c r="J120" i="2"/>
  <c r="P120" i="2" s="1"/>
  <c r="J121" i="2"/>
  <c r="P121" i="2" s="1"/>
  <c r="J122" i="2"/>
  <c r="P122" i="2" s="1"/>
  <c r="J123" i="2"/>
  <c r="P123" i="2" s="1"/>
  <c r="J124" i="2"/>
  <c r="P124" i="2" s="1"/>
  <c r="J125" i="2"/>
  <c r="P125" i="2" s="1"/>
  <c r="J126" i="2"/>
  <c r="P126" i="2" s="1"/>
  <c r="J127" i="2"/>
  <c r="P127" i="2" s="1"/>
  <c r="J128" i="2"/>
  <c r="P128" i="2" s="1"/>
  <c r="J129" i="2"/>
  <c r="P129" i="2" s="1"/>
  <c r="J130" i="2"/>
  <c r="P130" i="2" s="1"/>
  <c r="J131" i="2"/>
  <c r="P131" i="2" s="1"/>
  <c r="J132" i="2"/>
  <c r="P132" i="2" s="1"/>
  <c r="J133" i="2"/>
  <c r="P133" i="2" s="1"/>
  <c r="J134" i="2"/>
  <c r="P134" i="2" s="1"/>
  <c r="J135" i="2"/>
  <c r="P135" i="2" s="1"/>
  <c r="J136" i="2"/>
  <c r="P136" i="2" s="1"/>
  <c r="J137" i="2"/>
  <c r="P137" i="2" s="1"/>
  <c r="J138" i="2"/>
  <c r="P138" i="2" s="1"/>
  <c r="J139" i="2"/>
  <c r="P139" i="2" s="1"/>
  <c r="J140" i="2"/>
  <c r="P140" i="2" s="1"/>
  <c r="J141" i="2"/>
  <c r="P141" i="2" s="1"/>
  <c r="J142" i="2"/>
  <c r="P142" i="2" s="1"/>
  <c r="J143" i="2"/>
  <c r="P143" i="2" s="1"/>
  <c r="J144" i="2"/>
  <c r="P144" i="2" s="1"/>
  <c r="J145" i="2"/>
  <c r="P145" i="2" s="1"/>
  <c r="J146" i="2"/>
  <c r="P146" i="2" s="1"/>
  <c r="J147" i="2"/>
  <c r="P147" i="2" s="1"/>
  <c r="J148" i="2"/>
  <c r="P148" i="2" s="1"/>
  <c r="J149" i="2"/>
  <c r="P149" i="2" s="1"/>
  <c r="J150" i="2"/>
  <c r="P150" i="2" s="1"/>
  <c r="J151" i="2"/>
  <c r="P151" i="2" s="1"/>
  <c r="J152" i="2"/>
  <c r="P152" i="2" s="1"/>
  <c r="J153" i="2"/>
  <c r="P153" i="2" s="1"/>
  <c r="J154" i="2"/>
  <c r="P154" i="2" s="1"/>
  <c r="J155" i="2"/>
  <c r="P155" i="2" s="1"/>
  <c r="J156" i="2"/>
  <c r="P156" i="2" s="1"/>
  <c r="J157" i="2"/>
  <c r="P157" i="2" s="1"/>
  <c r="J158" i="2"/>
  <c r="P158" i="2" s="1"/>
  <c r="J159" i="2"/>
  <c r="P159" i="2" s="1"/>
  <c r="J160" i="2"/>
  <c r="P160" i="2" s="1"/>
  <c r="J161" i="2"/>
  <c r="P161" i="2" s="1"/>
  <c r="J162" i="2"/>
  <c r="P162" i="2" s="1"/>
  <c r="J163" i="2"/>
  <c r="P163" i="2" s="1"/>
  <c r="J164" i="2"/>
  <c r="P164" i="2" s="1"/>
  <c r="J165" i="2"/>
  <c r="P165" i="2" s="1"/>
  <c r="J166" i="2"/>
  <c r="P166" i="2" s="1"/>
  <c r="J167" i="2"/>
  <c r="P167" i="2" s="1"/>
  <c r="J168" i="2"/>
  <c r="P168" i="2" s="1"/>
  <c r="J169" i="2"/>
  <c r="P169" i="2" s="1"/>
  <c r="J170" i="2"/>
  <c r="P170" i="2" s="1"/>
  <c r="J171" i="2"/>
  <c r="P171" i="2" s="1"/>
  <c r="J172" i="2"/>
  <c r="P172" i="2" s="1"/>
  <c r="J173" i="2"/>
  <c r="P173" i="2" s="1"/>
  <c r="J174" i="2"/>
  <c r="P174" i="2" s="1"/>
  <c r="J175" i="2"/>
  <c r="P175" i="2" s="1"/>
  <c r="J176" i="2"/>
  <c r="P176" i="2" s="1"/>
  <c r="J177" i="2"/>
  <c r="P177" i="2" s="1"/>
  <c r="J178" i="2"/>
  <c r="P178" i="2" s="1"/>
  <c r="J179" i="2"/>
  <c r="P179" i="2" s="1"/>
  <c r="J180" i="2"/>
  <c r="P180" i="2" s="1"/>
  <c r="J181" i="2"/>
  <c r="P181" i="2" s="1"/>
  <c r="J182" i="2"/>
  <c r="P182" i="2" s="1"/>
  <c r="J183" i="2"/>
  <c r="P183" i="2" s="1"/>
  <c r="J184" i="2"/>
  <c r="P184" i="2" s="1"/>
  <c r="J185" i="2"/>
  <c r="P185" i="2" s="1"/>
  <c r="J186" i="2"/>
  <c r="P186" i="2" s="1"/>
  <c r="J187" i="2"/>
  <c r="P187" i="2" s="1"/>
  <c r="J188" i="2"/>
  <c r="P188" i="2" s="1"/>
  <c r="J189" i="2"/>
  <c r="P189" i="2" s="1"/>
  <c r="J190" i="2"/>
  <c r="P190" i="2" s="1"/>
  <c r="J191" i="2"/>
  <c r="P191" i="2" s="1"/>
  <c r="J192" i="2"/>
  <c r="P192" i="2" s="1"/>
  <c r="J193" i="2"/>
  <c r="P193" i="2" s="1"/>
  <c r="J194" i="2"/>
  <c r="P194" i="2" s="1"/>
  <c r="J195" i="2"/>
  <c r="P195" i="2" s="1"/>
  <c r="J196" i="2"/>
  <c r="P196" i="2" s="1"/>
  <c r="J197" i="2"/>
  <c r="P197" i="2" s="1"/>
  <c r="J198" i="2"/>
  <c r="P198" i="2" s="1"/>
  <c r="J199" i="2"/>
  <c r="P199" i="2" s="1"/>
  <c r="J200" i="2"/>
  <c r="P200" i="2" s="1"/>
  <c r="J201" i="2"/>
  <c r="P201" i="2" s="1"/>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alcChain>
</file>

<file path=xl/connections.xml><?xml version="1.0" encoding="utf-8"?>
<connections xmlns="http://schemas.openxmlformats.org/spreadsheetml/2006/main">
  <connection id="1" keepAlive="1" name="Query - coinmarketcap_crypto_data (1)" description="Connection to the 'coinmarketcap_crypto_data (1)' query in the workbook." type="5" refreshedVersion="5" background="1" saveData="1">
    <dbPr connection="provider=Microsoft.Mashup.OleDb.1;data source=$EmbeddedMashup(dd33fcdc-7207-426c-afcb-1d07823bfda6)$;location=&quot;coinmarketcap_crypto_data (1)&quot;;extended properties=&quot;UEsDBBQAAgAIAB1fRFxvXPaTqwAAAPoAAAASABwAQ29uZmlnL1BhY2thZ2UueG1sIKIYACigFAAAAAAAAAAAAAAAAAAAAAAAAAAAAIWPzwqCQBjEX0X27rd/RCv5XA+dgowgiK6ybbqka+iavluHHqlXKCijW7eZYX4w87jdMR3ryrvqtjONTQgHRjxtVXM0tkhI707+nKQSt7k654X2XmXbxWNnElI6d4kpHYYBhgCatqCCMU4P2XqnSl3nvrGdy63S5Esd/1NE4v49RgqIBIRCCJgxjnSKMTN20hxCCMQiAob0J8ZlX7m+1VJbf7VBOlmknx/yCVBLAwQUAAIACAAdX0Rc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HV9EXNwDwWFgAQAAmgIAABMAHABGb3JtdWxhcy9TZWN0aW9uMS5tIKIYACigFAAAAAAAAAAAAAAAAAAAAAAAAAAAAIVRXUvDMBR9L/Q/XDqEFkKhQ0EcfZBOcQiidHvaZGTpdQvmoyTptAz/u9k6mWjRvCS55+TknHstMse1grLbs1EYhIHdUIMVDCKmuZLUvKJjtF4y09ZOLyvqKMRZEkEOAl0YgF+lbgxDXynsNh1r1khULr7lAtNCK+cvNo6Kq8XMorGL+8lkuhjrNyU0reziz29SZrdRQuZjFFxyhyaPSESg0KKRyuaXBG4U0xVX6zwbXgwJPDXaYelagfnpmD5ohc8J6dwOokejpccquENaeUv7MFO68sQjcqzHXTAC82P9WoiSUUGNzZ1pvksWG6rWXnHa1niSmxqq7Is2sjO8B23c8z/Z7Q7tBkUl+nzOE8Hhu/sgsItsK1da/CrXhvumx7NynHxhqpErNAc02wA7eIL4rA8fnv9D6GYCfig94Hafx7/0Kgl4Bz0Uxg1rBHV+NmCbuhbtD9JHEgZc9TZw9AlQSwECLQAUAAIACAAdX0Rcb1z2k6sAAAD6AAAAEgAAAAAAAAAAAAAAAAAAAAAAQ29uZmlnL1BhY2thZ2UueG1sUEsBAi0AFAACAAgAHV9EXA/K6aukAAAA6QAAABMAAAAAAAAAAAAAAAAA9wAAAFtDb250ZW50X1R5cGVzXS54bWxQSwECLQAUAAIACAAdX0Rc3APBYWABAACaAgAAEwAAAAAAAAAAAAAAAADoAQAARm9ybXVsYXMvU2VjdGlvbjEubVBLBQYAAAAAAwADAMIAAACVAwAAAAA=&quot;" command="SELECT * FROM [coinmarketcap_crypto_data (1)]"/>
  </connection>
  <connection id="2"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name="WorksheetConnection_coinmarketcap_crypto_data (1)(design (Autosaved) Dashboard.xlsx!CryptoTable" type="102" refreshedVersion="5" minRefreshableVersion="5">
    <extLst>
      <ext xmlns:x15="http://schemas.microsoft.com/office/spreadsheetml/2010/11/main" uri="{DE250136-89BD-433C-8126-D09CA5730AF9}">
        <x15:connection id="CryptoTable-f872971a-4c0a-4f5a-bd2c-8b00836b95b5" autoDelete="1">
          <x15:rangePr sourceName="_xlcn.WorksheetConnection_coinmarketcap_crypto_data1designAutosavedDashboard.xlsxCryptoTable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CryptoTable].[price_range].&amp;[&lt;10]}"/>
    <s v="{[CryptoTable].[Price_Category].[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<sst xmlns="http://schemas.openxmlformats.org/spreadsheetml/2006/main" count="1392" uniqueCount="446">
  <si>
    <t>coin name</t>
  </si>
  <si>
    <t>symbol</t>
  </si>
  <si>
    <t>price (USD)</t>
  </si>
  <si>
    <t>1h change (%)</t>
  </si>
  <si>
    <t>24h change (%)</t>
  </si>
  <si>
    <t>market cap</t>
  </si>
  <si>
    <t>volume (24h) USD</t>
  </si>
  <si>
    <t>circulating supply</t>
  </si>
  <si>
    <t>Bitcoin</t>
  </si>
  <si>
    <t>BTC</t>
  </si>
  <si>
    <t>Ethereum</t>
  </si>
  <si>
    <t>ETH</t>
  </si>
  <si>
    <t>Tether USDt</t>
  </si>
  <si>
    <t>USDT</t>
  </si>
  <si>
    <t>BNB</t>
  </si>
  <si>
    <t>XRP</t>
  </si>
  <si>
    <t>USDC</t>
  </si>
  <si>
    <t>Solana</t>
  </si>
  <si>
    <t>SOL</t>
  </si>
  <si>
    <t>TRON</t>
  </si>
  <si>
    <t>TRX</t>
  </si>
  <si>
    <t>Dogecoin</t>
  </si>
  <si>
    <t>DOGE</t>
  </si>
  <si>
    <t>Cardano</t>
  </si>
  <si>
    <t>ADA</t>
  </si>
  <si>
    <t>Bitcoin Cash</t>
  </si>
  <si>
    <t>BCH</t>
  </si>
  <si>
    <t>Hyperliquid</t>
  </si>
  <si>
    <t>HYPE</t>
  </si>
  <si>
    <t>UNUS SED LEO</t>
  </si>
  <si>
    <t>LEO</t>
  </si>
  <si>
    <t>Monero</t>
  </si>
  <si>
    <t>XMR</t>
  </si>
  <si>
    <t>Chainlink</t>
  </si>
  <si>
    <t>LINK</t>
  </si>
  <si>
    <t>Ethena USDe</t>
  </si>
  <si>
    <t>USDe</t>
  </si>
  <si>
    <t>Canton</t>
  </si>
  <si>
    <t>CC</t>
  </si>
  <si>
    <t>Stellar</t>
  </si>
  <si>
    <t>XLM</t>
  </si>
  <si>
    <t>Zcash</t>
  </si>
  <si>
    <t>ZEC</t>
  </si>
  <si>
    <t>Dai</t>
  </si>
  <si>
    <t>DAI</t>
  </si>
  <si>
    <t>World Liberty Financial USD</t>
  </si>
  <si>
    <t>USD1</t>
  </si>
  <si>
    <t>Litecoin</t>
  </si>
  <si>
    <t>LTC</t>
  </si>
  <si>
    <t>Sui</t>
  </si>
  <si>
    <t>SUI</t>
  </si>
  <si>
    <t>Avalanche</t>
  </si>
  <si>
    <t>AVAX</t>
  </si>
  <si>
    <t>Shiba Inu</t>
  </si>
  <si>
    <t>SHIB</t>
  </si>
  <si>
    <t>Hedera</t>
  </si>
  <si>
    <t>HBAR</t>
  </si>
  <si>
    <t>World Liberty Financial</t>
  </si>
  <si>
    <t>WLFI</t>
  </si>
  <si>
    <t>PayPal USD</t>
  </si>
  <si>
    <t>PYUSD</t>
  </si>
  <si>
    <t>Toncoin</t>
  </si>
  <si>
    <t>TON</t>
  </si>
  <si>
    <t>Cronos</t>
  </si>
  <si>
    <t>CRO</t>
  </si>
  <si>
    <t>Polkadot</t>
  </si>
  <si>
    <t>DOT</t>
  </si>
  <si>
    <t>Uniswap</t>
  </si>
  <si>
    <t>UNI</t>
  </si>
  <si>
    <t>Mantle</t>
  </si>
  <si>
    <t>MNT</t>
  </si>
  <si>
    <t>Tether Gold</t>
  </si>
  <si>
    <t>XAUt</t>
  </si>
  <si>
    <t>Bitget Token</t>
  </si>
  <si>
    <t>BGB</t>
  </si>
  <si>
    <t>Bittensor</t>
  </si>
  <si>
    <t>TAO</t>
  </si>
  <si>
    <t>PAX Gold</t>
  </si>
  <si>
    <t>PAXG</t>
  </si>
  <si>
    <t>Aave</t>
  </si>
  <si>
    <t>AAVE</t>
  </si>
  <si>
    <t>OKB</t>
  </si>
  <si>
    <t>MemeCore</t>
  </si>
  <si>
    <t>M</t>
  </si>
  <si>
    <t>Pepe</t>
  </si>
  <si>
    <t>PEPE</t>
  </si>
  <si>
    <t>NEAR Protocol</t>
  </si>
  <si>
    <t>NEAR</t>
  </si>
  <si>
    <t>Internet Computer</t>
  </si>
  <si>
    <t>ICP</t>
  </si>
  <si>
    <t>Ethereum Classic</t>
  </si>
  <si>
    <t>ETC</t>
  </si>
  <si>
    <t>Global Dollar</t>
  </si>
  <si>
    <t>USDG</t>
  </si>
  <si>
    <t>Aster</t>
  </si>
  <si>
    <t>ASTER</t>
  </si>
  <si>
    <t>Ondo</t>
  </si>
  <si>
    <t>ONDO</t>
  </si>
  <si>
    <t>Sky</t>
  </si>
  <si>
    <t>SKY</t>
  </si>
  <si>
    <t>Pi</t>
  </si>
  <si>
    <t>PI</t>
  </si>
  <si>
    <t>MYX Finance</t>
  </si>
  <si>
    <t>MYX</t>
  </si>
  <si>
    <t>Ripple USD</t>
  </si>
  <si>
    <t>RLUSD</t>
  </si>
  <si>
    <t>KuCoin Token</t>
  </si>
  <si>
    <t>KCS</t>
  </si>
  <si>
    <t>Worldcoin</t>
  </si>
  <si>
    <t>WLD</t>
  </si>
  <si>
    <t>Ethena</t>
  </si>
  <si>
    <t>ENA</t>
  </si>
  <si>
    <t>Polygon (prev. MATIC)</t>
  </si>
  <si>
    <t>POL</t>
  </si>
  <si>
    <t>USDD</t>
  </si>
  <si>
    <t>Aptos</t>
  </si>
  <si>
    <t>APT</t>
  </si>
  <si>
    <t>GateToken</t>
  </si>
  <si>
    <t>GT</t>
  </si>
  <si>
    <t>Kaspa</t>
  </si>
  <si>
    <t>KAS</t>
  </si>
  <si>
    <t>Cosmos</t>
  </si>
  <si>
    <t>ATOM</t>
  </si>
  <si>
    <t>Algorand</t>
  </si>
  <si>
    <t>ALGO</t>
  </si>
  <si>
    <t>Pump.fun</t>
  </si>
  <si>
    <t>PUMP</t>
  </si>
  <si>
    <t>OFFICIAL TRUMP</t>
  </si>
  <si>
    <t>TRUMP</t>
  </si>
  <si>
    <t>Arbitrum</t>
  </si>
  <si>
    <t>ARB</t>
  </si>
  <si>
    <t>Midnight</t>
  </si>
  <si>
    <t>NIGHT</t>
  </si>
  <si>
    <t>Render</t>
  </si>
  <si>
    <t>RENDER</t>
  </si>
  <si>
    <t>Filecoin</t>
  </si>
  <si>
    <t>FIL</t>
  </si>
  <si>
    <t>Quant</t>
  </si>
  <si>
    <t>QNT</t>
  </si>
  <si>
    <t>Flare</t>
  </si>
  <si>
    <t>FLR</t>
  </si>
  <si>
    <t>VeChain</t>
  </si>
  <si>
    <t>VET</t>
  </si>
  <si>
    <t>River</t>
  </si>
  <si>
    <t>RIVER</t>
  </si>
  <si>
    <t>United Stables</t>
  </si>
  <si>
    <t>U</t>
  </si>
  <si>
    <t>XDC Network</t>
  </si>
  <si>
    <t>XDC</t>
  </si>
  <si>
    <t>Bonk</t>
  </si>
  <si>
    <t>BONK</t>
  </si>
  <si>
    <t>Dash</t>
  </si>
  <si>
    <t>DASH</t>
  </si>
  <si>
    <t>Story</t>
  </si>
  <si>
    <t>IP</t>
  </si>
  <si>
    <t>Sei</t>
  </si>
  <si>
    <t>SEI</t>
  </si>
  <si>
    <t>Jupiter</t>
  </si>
  <si>
    <t>JUP</t>
  </si>
  <si>
    <t>LayerZero</t>
  </si>
  <si>
    <t>ZRO</t>
  </si>
  <si>
    <t>Nexo</t>
  </si>
  <si>
    <t>NEXO</t>
  </si>
  <si>
    <t>PancakeSwap</t>
  </si>
  <si>
    <t>CAKE</t>
  </si>
  <si>
    <t>Pudgy Penguins</t>
  </si>
  <si>
    <t>PENGU</t>
  </si>
  <si>
    <t>Tezos</t>
  </si>
  <si>
    <t>XTZ</t>
  </si>
  <si>
    <t>Optimism</t>
  </si>
  <si>
    <t>OP</t>
  </si>
  <si>
    <t>Stacks</t>
  </si>
  <si>
    <t>STX</t>
  </si>
  <si>
    <t>Chiliz</t>
  </si>
  <si>
    <t>CHZ</t>
  </si>
  <si>
    <t>TrueUSD</t>
  </si>
  <si>
    <t>TUSD</t>
  </si>
  <si>
    <t>Virtuals Protocol</t>
  </si>
  <si>
    <t>VIRTUAL</t>
  </si>
  <si>
    <t>Artificial Superintelligence Alliance</t>
  </si>
  <si>
    <t>FET</t>
  </si>
  <si>
    <t>Curve DAO Token</t>
  </si>
  <si>
    <t>CRV</t>
  </si>
  <si>
    <t>First Digital USD</t>
  </si>
  <si>
    <t>FDUSD</t>
  </si>
  <si>
    <t>Morpho</t>
  </si>
  <si>
    <t>MORPHO</t>
  </si>
  <si>
    <t>Stable</t>
  </si>
  <si>
    <t>STABLE</t>
  </si>
  <si>
    <t>DoubleZero</t>
  </si>
  <si>
    <t>2Z</t>
  </si>
  <si>
    <t>EURC</t>
  </si>
  <si>
    <t>Immutable</t>
  </si>
  <si>
    <t>IMX</t>
  </si>
  <si>
    <t>Injective</t>
  </si>
  <si>
    <t>INJ</t>
  </si>
  <si>
    <t>Lighter</t>
  </si>
  <si>
    <t>LIT</t>
  </si>
  <si>
    <t>Lido DAO</t>
  </si>
  <si>
    <t>LDO</t>
  </si>
  <si>
    <t>Maple Finance</t>
  </si>
  <si>
    <t>SYRUP</t>
  </si>
  <si>
    <t>JUST</t>
  </si>
  <si>
    <t>JST</t>
  </si>
  <si>
    <t>Aerodrome Finance</t>
  </si>
  <si>
    <t>AERO</t>
  </si>
  <si>
    <t>BitTorrent [New]</t>
  </si>
  <si>
    <t>BTT</t>
  </si>
  <si>
    <t>ether.fi</t>
  </si>
  <si>
    <t>ETHFI</t>
  </si>
  <si>
    <t>Sun [New]</t>
  </si>
  <si>
    <t>SUN</t>
  </si>
  <si>
    <t>FLOKI</t>
  </si>
  <si>
    <t>Axie Infinity</t>
  </si>
  <si>
    <t>AXS</t>
  </si>
  <si>
    <t>Kaia</t>
  </si>
  <si>
    <t>KAIA</t>
  </si>
  <si>
    <t>The Graph</t>
  </si>
  <si>
    <t>GRT</t>
  </si>
  <si>
    <t>Trust Wallet Token</t>
  </si>
  <si>
    <t>TWT</t>
  </si>
  <si>
    <t>Celestia</t>
  </si>
  <si>
    <t>TIA</t>
  </si>
  <si>
    <t>AINFT</t>
  </si>
  <si>
    <t>NFT</t>
  </si>
  <si>
    <t>Gnosis</t>
  </si>
  <si>
    <t>GNO</t>
  </si>
  <si>
    <t>IOTA</t>
  </si>
  <si>
    <t>Pyth Network</t>
  </si>
  <si>
    <t>PYTH</t>
  </si>
  <si>
    <t>Humanity Protocol</t>
  </si>
  <si>
    <t>H</t>
  </si>
  <si>
    <t>Bitcoin SV</t>
  </si>
  <si>
    <t>BSV</t>
  </si>
  <si>
    <t>Starknet</t>
  </si>
  <si>
    <t>STRK</t>
  </si>
  <si>
    <t>Conflux</t>
  </si>
  <si>
    <t>CFX</t>
  </si>
  <si>
    <t>JasmyCoin</t>
  </si>
  <si>
    <t>JASMY</t>
  </si>
  <si>
    <t>Ethereum Name Service</t>
  </si>
  <si>
    <t>ENS</t>
  </si>
  <si>
    <t>Telcoin</t>
  </si>
  <si>
    <t>TEL</t>
  </si>
  <si>
    <t>The Sandbox</t>
  </si>
  <si>
    <t>SAND</t>
  </si>
  <si>
    <t>SPX6900</t>
  </si>
  <si>
    <t>SPX</t>
  </si>
  <si>
    <t>Decred</t>
  </si>
  <si>
    <t>DCR</t>
  </si>
  <si>
    <t>Pendle</t>
  </si>
  <si>
    <t>PENDLE</t>
  </si>
  <si>
    <t>dogwifhat</t>
  </si>
  <si>
    <t>WIF</t>
  </si>
  <si>
    <t>AB</t>
  </si>
  <si>
    <t>Sentient</t>
  </si>
  <si>
    <t>SENT</t>
  </si>
  <si>
    <t>pippin</t>
  </si>
  <si>
    <t>PIPPIN</t>
  </si>
  <si>
    <t>Zebec Network</t>
  </si>
  <si>
    <t>ZBCN</t>
  </si>
  <si>
    <t>Gala</t>
  </si>
  <si>
    <t>GALA</t>
  </si>
  <si>
    <t>Fartcoin</t>
  </si>
  <si>
    <t>FARTCOIN</t>
  </si>
  <si>
    <t>Decentraland</t>
  </si>
  <si>
    <t>MANA</t>
  </si>
  <si>
    <t>DeXe</t>
  </si>
  <si>
    <t>DEXE</t>
  </si>
  <si>
    <t>Raydium</t>
  </si>
  <si>
    <t>RAY</t>
  </si>
  <si>
    <t>Kite</t>
  </si>
  <si>
    <t>KITE</t>
  </si>
  <si>
    <t>Theta Network</t>
  </si>
  <si>
    <t>THETA</t>
  </si>
  <si>
    <t>Onyxcoin</t>
  </si>
  <si>
    <t>XCN</t>
  </si>
  <si>
    <t>Neo</t>
  </si>
  <si>
    <t>NEO</t>
  </si>
  <si>
    <t>Monad</t>
  </si>
  <si>
    <t>MON</t>
  </si>
  <si>
    <t>Basic Attention Token</t>
  </si>
  <si>
    <t>BAT</t>
  </si>
  <si>
    <t>Compound</t>
  </si>
  <si>
    <t>COMP</t>
  </si>
  <si>
    <t>Golem</t>
  </si>
  <si>
    <t>GLM</t>
  </si>
  <si>
    <t>Plasma</t>
  </si>
  <si>
    <t>XPL</t>
  </si>
  <si>
    <t>ZKsync</t>
  </si>
  <si>
    <t>ZK</t>
  </si>
  <si>
    <t>Fluid</t>
  </si>
  <si>
    <t>FLUID</t>
  </si>
  <si>
    <t>Falcon Finance</t>
  </si>
  <si>
    <t>FF</t>
  </si>
  <si>
    <t>Convex Finance</t>
  </si>
  <si>
    <t>CVX</t>
  </si>
  <si>
    <t>Terra Classic</t>
  </si>
  <si>
    <t>LUNC</t>
  </si>
  <si>
    <t>eCash</t>
  </si>
  <si>
    <t>XEC</t>
  </si>
  <si>
    <t>BUILDon</t>
  </si>
  <si>
    <t>B</t>
  </si>
  <si>
    <t>Arweave</t>
  </si>
  <si>
    <t>AR</t>
  </si>
  <si>
    <t>Helium</t>
  </si>
  <si>
    <t>HNT</t>
  </si>
  <si>
    <t>0G</t>
  </si>
  <si>
    <t>THORChain</t>
  </si>
  <si>
    <t>RUNE</t>
  </si>
  <si>
    <t>Vision</t>
  </si>
  <si>
    <t>VSN</t>
  </si>
  <si>
    <t>MX Token</t>
  </si>
  <si>
    <t>MX</t>
  </si>
  <si>
    <t>OriginTrail</t>
  </si>
  <si>
    <t>TRAC</t>
  </si>
  <si>
    <t>Sonic</t>
  </si>
  <si>
    <t>S</t>
  </si>
  <si>
    <t>EigenCloud</t>
  </si>
  <si>
    <t>EIGEN</t>
  </si>
  <si>
    <t>Lombard</t>
  </si>
  <si>
    <t>BARD</t>
  </si>
  <si>
    <t>SafePal</t>
  </si>
  <si>
    <t>SFP</t>
  </si>
  <si>
    <t>Oasis</t>
  </si>
  <si>
    <t>ROSE</t>
  </si>
  <si>
    <t>Walrus</t>
  </si>
  <si>
    <t>WAL</t>
  </si>
  <si>
    <t>å¸å®‰äººç”Ÿ</t>
  </si>
  <si>
    <t>Cheems (cheems.pet)</t>
  </si>
  <si>
    <t>CHEEMS</t>
  </si>
  <si>
    <t>Vaulta</t>
  </si>
  <si>
    <t>A</t>
  </si>
  <si>
    <t>WEMIX</t>
  </si>
  <si>
    <t>1inch</t>
  </si>
  <si>
    <t>1INCH</t>
  </si>
  <si>
    <t>DeepBook Protocol</t>
  </si>
  <si>
    <t>DEEP</t>
  </si>
  <si>
    <t>MultiversX</t>
  </si>
  <si>
    <t>EGLD</t>
  </si>
  <si>
    <t>Amp</t>
  </si>
  <si>
    <t>AMP</t>
  </si>
  <si>
    <t>Jito</t>
  </si>
  <si>
    <t>JTO</t>
  </si>
  <si>
    <t>Livepeer</t>
  </si>
  <si>
    <t>LPT</t>
  </si>
  <si>
    <t>Kamino</t>
  </si>
  <si>
    <t>KMNO</t>
  </si>
  <si>
    <t>Fogo</t>
  </si>
  <si>
    <t>FOGO</t>
  </si>
  <si>
    <t>Horizen</t>
  </si>
  <si>
    <t>ZEN</t>
  </si>
  <si>
    <t>Beam</t>
  </si>
  <si>
    <t>BEAM</t>
  </si>
  <si>
    <t>Wormhole</t>
  </si>
  <si>
    <t>W</t>
  </si>
  <si>
    <t>Aethir</t>
  </si>
  <si>
    <t>ATH</t>
  </si>
  <si>
    <t>Synthetix</t>
  </si>
  <si>
    <t>SNX</t>
  </si>
  <si>
    <t>Reserve Rights</t>
  </si>
  <si>
    <t>RSR</t>
  </si>
  <si>
    <t>FTX Token</t>
  </si>
  <si>
    <t>FTT</t>
  </si>
  <si>
    <t>Official Melania Meme</t>
  </si>
  <si>
    <t>MELANIA</t>
  </si>
  <si>
    <t>Meteora</t>
  </si>
  <si>
    <t>MET</t>
  </si>
  <si>
    <t>dYdX</t>
  </si>
  <si>
    <t>DYDX</t>
  </si>
  <si>
    <t>ApeCoin</t>
  </si>
  <si>
    <t>APE</t>
  </si>
  <si>
    <t>Open Campus</t>
  </si>
  <si>
    <t>EDU</t>
  </si>
  <si>
    <t>Qtum</t>
  </si>
  <si>
    <t>QTUM</t>
  </si>
  <si>
    <t>Akash Network</t>
  </si>
  <si>
    <t>AKT</t>
  </si>
  <si>
    <t>ZORA</t>
  </si>
  <si>
    <t>Theta Fuel</t>
  </si>
  <si>
    <t>TFUEL</t>
  </si>
  <si>
    <t>Gas</t>
  </si>
  <si>
    <t>GAS</t>
  </si>
  <si>
    <t>Brett (Based)</t>
  </si>
  <si>
    <t>BRETT</t>
  </si>
  <si>
    <t>Stargate Finance</t>
  </si>
  <si>
    <t>STG</t>
  </si>
  <si>
    <t>Four</t>
  </si>
  <si>
    <t>FORM</t>
  </si>
  <si>
    <t>yearn.finance</t>
  </si>
  <si>
    <t>YFI</t>
  </si>
  <si>
    <t>Kusama</t>
  </si>
  <si>
    <t>KSM</t>
  </si>
  <si>
    <t>Creditcoin</t>
  </si>
  <si>
    <t>CTC</t>
  </si>
  <si>
    <t>Dollar Volume Per Supply</t>
  </si>
  <si>
    <t>Rank</t>
  </si>
  <si>
    <t>Price Range</t>
  </si>
  <si>
    <t>Grand Total</t>
  </si>
  <si>
    <t>Coin Name</t>
  </si>
  <si>
    <t>Row Labels</t>
  </si>
  <si>
    <t>price_USD</t>
  </si>
  <si>
    <t>volume_24h</t>
  </si>
  <si>
    <t>market_cap</t>
  </si>
  <si>
    <t>circulating_supply</t>
  </si>
  <si>
    <t>Previous_Price</t>
  </si>
  <si>
    <t>price_change</t>
  </si>
  <si>
    <t>price_range</t>
  </si>
  <si>
    <t>All</t>
  </si>
  <si>
    <t>Current_Price</t>
  </si>
  <si>
    <t>Price_Change</t>
  </si>
  <si>
    <t>&lt;10</t>
  </si>
  <si>
    <t>Name</t>
  </si>
  <si>
    <t>Price</t>
  </si>
  <si>
    <t>1h</t>
  </si>
  <si>
    <t>24h</t>
  </si>
  <si>
    <t>7d</t>
  </si>
  <si>
    <t>AWE</t>
  </si>
  <si>
    <t>Seeker</t>
  </si>
  <si>
    <t>Berachain</t>
  </si>
  <si>
    <t>Irys</t>
  </si>
  <si>
    <t>YZY MONEY</t>
  </si>
  <si>
    <t>CoW Protocol</t>
  </si>
  <si>
    <t>币安人生</t>
  </si>
  <si>
    <t>Dog (Bitcoin)</t>
  </si>
  <si>
    <t>Verge</t>
  </si>
  <si>
    <t>Defi App</t>
  </si>
  <si>
    <t>Price_1h_Ago</t>
  </si>
  <si>
    <t>Price_24h_Ago</t>
  </si>
  <si>
    <t>Price_7d_Ago</t>
  </si>
  <si>
    <t>Price_Range</t>
  </si>
  <si>
    <t xml:space="preserve"> Price_24h_Ago</t>
  </si>
  <si>
    <t xml:space="preserve"> Price_7d_Ago</t>
  </si>
  <si>
    <t>Price_Category</t>
  </si>
  <si>
    <t>Sum of volume_24h</t>
  </si>
  <si>
    <t>top5_others</t>
  </si>
  <si>
    <t>Others</t>
  </si>
  <si>
    <t>Valid_coin</t>
  </si>
  <si>
    <t>(All)</t>
  </si>
  <si>
    <t>Price_Range2</t>
  </si>
  <si>
    <t>Avg_Downfall</t>
  </si>
  <si>
    <t>Price_range2</t>
  </si>
  <si>
    <t>Min of Avg_Downfall</t>
  </si>
  <si>
    <t>Best coin Name</t>
  </si>
  <si>
    <t>Avg Downfall</t>
  </si>
  <si>
    <t>Total Coins 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</si>
</sst>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quot;₹&quot;\ #,##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font>
    <font>
      <b/>
      <sz val="11"/>
      <name val="Calibri"/>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theme="0" tint="-0.34998626667073579"/>
        <bgColor theme="4" tint="0.79998168889431442"/>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4">
    <xf numFmtId="0" fontId="0" fillId="0" borderId="0" xfId="0"/>
    <xf numFmtId="11" fontId="0" fillId="0" borderId="0" xfId="0" applyNumberFormat="1"/>
    <xf numFmtId="0" fontId="0" fillId="0" borderId="0" xfId="0" quotePrefix="1" applyNumberFormat="1" applyAlignment="1"/>
    <xf numFmtId="0" fontId="0" fillId="0" borderId="0" xfId="0" applyNumberFormat="1" applyAlignment="1"/>
    <xf numFmtId="0" fontId="0" fillId="0" borderId="0" xfId="0" pivotButton="1"/>
    <xf numFmtId="0" fontId="0" fillId="0" borderId="0" xfId="0" applyAlignment="1">
      <alignment horizontal="left"/>
    </xf>
    <xf numFmtId="0" fontId="0" fillId="0" borderId="0" xfId="0" applyNumberFormat="1"/>
    <xf numFmtId="0" fontId="0" fillId="33" borderId="0" xfId="0" applyFill="1"/>
    <xf numFmtId="0" fontId="0" fillId="33" borderId="0" xfId="0" applyFill="1" applyAlignment="1">
      <alignment horizontal="left"/>
    </xf>
    <xf numFmtId="0" fontId="0" fillId="33" borderId="0" xfId="0" applyNumberFormat="1" applyFill="1"/>
    <xf numFmtId="0" fontId="16" fillId="34" borderId="10" xfId="0" applyFont="1" applyFill="1" applyBorder="1"/>
    <xf numFmtId="0" fontId="16" fillId="34" borderId="11" xfId="0" applyFont="1" applyFill="1" applyBorder="1" applyAlignment="1">
      <alignment horizontal="left"/>
    </xf>
    <xf numFmtId="0" fontId="16" fillId="34" borderId="11" xfId="0" applyNumberFormat="1" applyFont="1" applyFill="1" applyBorder="1"/>
    <xf numFmtId="165" fontId="0" fillId="0" borderId="0" xfId="0" applyNumberFormat="1"/>
    <xf numFmtId="165" fontId="16" fillId="34" borderId="11" xfId="0" applyNumberFormat="1" applyFont="1" applyFill="1" applyBorder="1"/>
    <xf numFmtId="165" fontId="16" fillId="34" borderId="10" xfId="0" applyNumberFormat="1" applyFont="1" applyFill="1" applyBorder="1"/>
    <xf numFmtId="0" fontId="18" fillId="0" borderId="12" xfId="0" applyFont="1" applyBorder="1" applyAlignment="1">
      <alignment horizontal="center" vertical="top"/>
    </xf>
    <xf numFmtId="165" fontId="0" fillId="33" borderId="0" xfId="0" applyNumberFormat="1" applyFill="1"/>
    <xf numFmtId="0" fontId="16" fillId="35" borderId="10" xfId="0" applyFont="1" applyFill="1" applyBorder="1"/>
    <xf numFmtId="0" fontId="16" fillId="35" borderId="11" xfId="0" applyFont="1" applyFill="1" applyBorder="1" applyAlignment="1">
      <alignment horizontal="left"/>
    </xf>
    <xf numFmtId="165" fontId="16" fillId="35" borderId="11" xfId="0" applyNumberFormat="1" applyFont="1" applyFill="1" applyBorder="1"/>
    <xf numFmtId="0" fontId="16" fillId="35" borderId="11" xfId="0" applyNumberFormat="1" applyFont="1" applyFill="1" applyBorder="1"/>
    <xf numFmtId="0" fontId="19" fillId="0" borderId="12" xfId="0" applyFont="1" applyBorder="1" applyAlignment="1">
      <alignment horizontal="center" vertical="top"/>
    </xf>
    <xf numFmtId="0" fontId="16"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numFmt numFmtId="165" formatCode="&quot;₹&quot;\ #,##0.00"/>
    </dxf>
    <dxf>
      <numFmt numFmtId="165"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indexed="64"/>
        </left>
        <right style="thin">
          <color indexed="64"/>
        </right>
        <top/>
        <bottom/>
      </border>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37"/>
      <tableStyleElement type="headerRow" dxfId="36"/>
      <tableStyleElement type="firstRowStripe" dxfId="35"/>
    </tableStyle>
    <tableStyle name="TableStyleQueryResult" pivot="0" count="3">
      <tableStyleElement type="wholeTable" dxfId="34"/>
      <tableStyleElement type="headerRow" dxfId="33"/>
      <tableStyleElement type="firstRowStripe" dxfId="3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theme" Target="theme/theme1.xml"/><Relationship Id="rId28" Type="http://schemas.openxmlformats.org/officeDocument/2006/relationships/powerPivotData" Target="model/item.data"/><Relationship Id="rId10" Type="http://schemas.openxmlformats.org/officeDocument/2006/relationships/pivotCacheDefinition" Target="pivotCache/pivotCacheDefinition1.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07/relationships/slicerCache" Target="slicerCaches/slicerCache4.xml"/><Relationship Id="rId27" Type="http://schemas.openxmlformats.org/officeDocument/2006/relationships/sheetMetadata" Target="metadata.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2!PivotTable2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Price Change Analysis of Cryptocurrencies by Price Range</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'Task 2'!$B$3</c:f>
              <c:strCache>
                <c:ptCount val="1"/>
                <c:pt idx="0">
                  <c:v>Current_Price</c:v>
                </c:pt>
              </c:strCache>
            </c:strRef>
          </c:tx>
          <c:spPr>
            <a:solidFill>
              <a:schemeClr val="accent1"/>
            </a:solidFill>
            <a:ln>
              <a:noFill/>
            </a:ln>
            <a:effectLst/>
          </c:spPr>
          <c:invertIfNegative val="0"/>
          <c:cat>
            <c:strRef>
              <c:f>'Task 2'!$A$4:$A$14</c:f>
              <c:strCache>
                <c:ptCount val="10"/>
                <c:pt idx="0">
                  <c:v>0G</c:v>
                </c:pt>
                <c:pt idx="1">
                  <c:v>dYdX</c:v>
                </c:pt>
                <c:pt idx="2">
                  <c:v>Fluid</c:v>
                </c:pt>
                <c:pt idx="3">
                  <c:v>Four</c:v>
                </c:pt>
                <c:pt idx="4">
                  <c:v>FTX Token</c:v>
                </c:pt>
                <c:pt idx="5">
                  <c:v>Maple Finance</c:v>
                </c:pt>
                <c:pt idx="6">
                  <c:v>Pi</c:v>
                </c:pt>
                <c:pt idx="7">
                  <c:v>Ripple USD</c:v>
                </c:pt>
                <c:pt idx="8">
                  <c:v>TrueUSD</c:v>
                </c:pt>
                <c:pt idx="9">
                  <c:v>USDD</c:v>
                </c:pt>
              </c:strCache>
            </c:strRef>
          </c:cat>
          <c:val>
            <c:numRef>
              <c:f>'Task 2'!$B$4:$B$14</c:f>
              <c:numCache>
                <c:formatCode>"₹"\ #,##0.00</c:formatCode>
                <c:ptCount val="10"/>
                <c:pt idx="0">
                  <c:v>0.83090162498184206</c:v>
                </c:pt>
                <c:pt idx="1">
                  <c:v>0.15169948145184253</c:v>
                </c:pt>
                <c:pt idx="2">
                  <c:v>2.6212842733273813</c:v>
                </c:pt>
                <c:pt idx="3">
                  <c:v>0.29331756723759655</c:v>
                </c:pt>
                <c:pt idx="4">
                  <c:v>0.3882928950675168</c:v>
                </c:pt>
                <c:pt idx="5">
                  <c:v>0.33919794891766891</c:v>
                </c:pt>
                <c:pt idx="6">
                  <c:v>0.16428946276544718</c:v>
                </c:pt>
                <c:pt idx="7">
                  <c:v>0.99984869784091468</c:v>
                </c:pt>
                <c:pt idx="8">
                  <c:v>0.99773379909180548</c:v>
                </c:pt>
                <c:pt idx="9">
                  <c:v>0.99810411764851903</c:v>
                </c:pt>
              </c:numCache>
            </c:numRef>
          </c:val>
        </c:ser>
        <c:ser>
          <c:idx val="1"/>
          <c:order val="1"/>
          <c:tx>
            <c:strRef>
              <c:f>'Task 2'!$C$3</c:f>
              <c:strCache>
                <c:ptCount val="1"/>
                <c:pt idx="0">
                  <c:v>Previous_Price</c:v>
                </c:pt>
              </c:strCache>
            </c:strRef>
          </c:tx>
          <c:spPr>
            <a:solidFill>
              <a:schemeClr val="accent2"/>
            </a:solidFill>
            <a:ln>
              <a:noFill/>
            </a:ln>
            <a:effectLst/>
          </c:spPr>
          <c:invertIfNegative val="0"/>
          <c:cat>
            <c:strRef>
              <c:f>'Task 2'!$A$4:$A$14</c:f>
              <c:strCache>
                <c:ptCount val="10"/>
                <c:pt idx="0">
                  <c:v>0G</c:v>
                </c:pt>
                <c:pt idx="1">
                  <c:v>dYdX</c:v>
                </c:pt>
                <c:pt idx="2">
                  <c:v>Fluid</c:v>
                </c:pt>
                <c:pt idx="3">
                  <c:v>Four</c:v>
                </c:pt>
                <c:pt idx="4">
                  <c:v>FTX Token</c:v>
                </c:pt>
                <c:pt idx="5">
                  <c:v>Maple Finance</c:v>
                </c:pt>
                <c:pt idx="6">
                  <c:v>Pi</c:v>
                </c:pt>
                <c:pt idx="7">
                  <c:v>Ripple USD</c:v>
                </c:pt>
                <c:pt idx="8">
                  <c:v>TrueUSD</c:v>
                </c:pt>
                <c:pt idx="9">
                  <c:v>USDD</c:v>
                </c:pt>
              </c:strCache>
            </c:strRef>
          </c:cat>
          <c:val>
            <c:numRef>
              <c:f>'Task 2'!$C$4:$C$14</c:f>
              <c:numCache>
                <c:formatCode>"₹"\ #,##0.00</c:formatCode>
                <c:ptCount val="10"/>
                <c:pt idx="0">
                  <c:v>0.82664916411738176</c:v>
                </c:pt>
                <c:pt idx="1">
                  <c:v>0.1512500139181073</c:v>
                </c:pt>
                <c:pt idx="2">
                  <c:v>2.6126607720811292</c:v>
                </c:pt>
                <c:pt idx="3">
                  <c:v>0.29258468213703387</c:v>
                </c:pt>
                <c:pt idx="4">
                  <c:v>0.38760759046732896</c:v>
                </c:pt>
                <c:pt idx="5">
                  <c:v>0.33739684359133593</c:v>
                </c:pt>
                <c:pt idx="6">
                  <c:v>0.16364984575491615</c:v>
                </c:pt>
                <c:pt idx="7">
                  <c:v>0.99879216769534751</c:v>
                </c:pt>
                <c:pt idx="8">
                  <c:v>0.99728502781028616</c:v>
                </c:pt>
                <c:pt idx="9">
                  <c:v>0.99737019222044954</c:v>
                </c:pt>
              </c:numCache>
            </c:numRef>
          </c:val>
        </c:ser>
        <c:ser>
          <c:idx val="2"/>
          <c:order val="2"/>
          <c:tx>
            <c:strRef>
              <c:f>'Task 2'!$D$3</c:f>
              <c:strCache>
                <c:ptCount val="1"/>
                <c:pt idx="0">
                  <c:v>Price_Change</c:v>
                </c:pt>
              </c:strCache>
            </c:strRef>
          </c:tx>
          <c:spPr>
            <a:solidFill>
              <a:schemeClr val="accent3"/>
            </a:solidFill>
            <a:ln>
              <a:noFill/>
            </a:ln>
            <a:effectLst/>
          </c:spPr>
          <c:invertIfNegative val="0"/>
          <c:cat>
            <c:strRef>
              <c:f>'Task 2'!$A$4:$A$14</c:f>
              <c:strCache>
                <c:ptCount val="10"/>
                <c:pt idx="0">
                  <c:v>0G</c:v>
                </c:pt>
                <c:pt idx="1">
                  <c:v>dYdX</c:v>
                </c:pt>
                <c:pt idx="2">
                  <c:v>Fluid</c:v>
                </c:pt>
                <c:pt idx="3">
                  <c:v>Four</c:v>
                </c:pt>
                <c:pt idx="4">
                  <c:v>FTX Token</c:v>
                </c:pt>
                <c:pt idx="5">
                  <c:v>Maple Finance</c:v>
                </c:pt>
                <c:pt idx="6">
                  <c:v>Pi</c:v>
                </c:pt>
                <c:pt idx="7">
                  <c:v>Ripple USD</c:v>
                </c:pt>
                <c:pt idx="8">
                  <c:v>TrueUSD</c:v>
                </c:pt>
                <c:pt idx="9">
                  <c:v>USDD</c:v>
                </c:pt>
              </c:strCache>
            </c:strRef>
          </c:cat>
          <c:val>
            <c:numRef>
              <c:f>'Task 2'!$D$4:$D$14</c:f>
              <c:numCache>
                <c:formatCode>General</c:formatCode>
                <c:ptCount val="10"/>
                <c:pt idx="0">
                  <c:v>4.2524608644602946E-3</c:v>
                </c:pt>
                <c:pt idx="1">
                  <c:v>4.4946753373523163E-4</c:v>
                </c:pt>
                <c:pt idx="2">
                  <c:v>8.6235012462521077E-3</c:v>
                </c:pt>
                <c:pt idx="3">
                  <c:v>7.3288510056268574E-4</c:v>
                </c:pt>
                <c:pt idx="4">
                  <c:v>6.8530460018784156E-4</c:v>
                </c:pt>
                <c:pt idx="5">
                  <c:v>1.8011053263329857E-3</c:v>
                </c:pt>
                <c:pt idx="6">
                  <c:v>6.3961701053102948E-4</c:v>
                </c:pt>
                <c:pt idx="7">
                  <c:v>1.0565301455671694E-3</c:v>
                </c:pt>
                <c:pt idx="8">
                  <c:v>4.4877128151932233E-4</c:v>
                </c:pt>
                <c:pt idx="9">
                  <c:v>7.339254280694929E-4</c:v>
                </c:pt>
              </c:numCache>
            </c:numRef>
          </c:val>
        </c:ser>
        <c:dLbls>
          <c:showLegendKey val="0"/>
          <c:showVal val="0"/>
          <c:showCatName val="0"/>
          <c:showSerName val="0"/>
          <c:showPercent val="0"/>
          <c:showBubbleSize val="0"/>
        </c:dLbls>
        <c:gapWidth val="219"/>
        <c:overlap val="-27"/>
        <c:axId val="986372776"/>
        <c:axId val="986371992"/>
      </c:barChart>
      <c:catAx>
        <c:axId val="986372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371992"/>
        <c:crosses val="autoZero"/>
        <c:auto val="1"/>
        <c:lblAlgn val="ctr"/>
        <c:lblOffset val="100"/>
        <c:noMultiLvlLbl val="0"/>
      </c:catAx>
      <c:valAx>
        <c:axId val="986371992"/>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3727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4000">
          <a:srgbClr val="C1D8F8"/>
        </a:gs>
        <a:gs pos="28000">
          <a:schemeClr val="accent1">
            <a:tint val="44500"/>
            <a:satMod val="160000"/>
          </a:schemeClr>
        </a:gs>
        <a:gs pos="85000">
          <a:schemeClr val="accent1">
            <a:tint val="23500"/>
            <a:satMod val="160000"/>
          </a:schemeClr>
        </a:gs>
      </a:gsLst>
      <a:lin ang="16200000" scaled="1"/>
    </a:gradFill>
    <a:ln w="9525" cap="flat" cmpd="sng" algn="ctr">
      <a:solidFill>
        <a:schemeClr val="tx1">
          <a:lumMod val="15000"/>
          <a:lumOff val="85000"/>
        </a:schemeClr>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3!PivotTable9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Comparison of Cryptocurrency Prices: 24 Hours vs 7 Days Ago</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'Task 3'!$B$3</c:f>
              <c:strCache>
                <c:ptCount val="1"/>
                <c:pt idx="0">
                  <c:v> Price_24h_Ago</c:v>
                </c:pt>
              </c:strCache>
            </c:strRef>
          </c:tx>
          <c:spPr>
            <a:solidFill>
              <a:schemeClr val="accent1"/>
            </a:solidFill>
            <a:ln>
              <a:noFill/>
            </a:ln>
            <a:effectLst/>
          </c:spPr>
          <c:invertIfNegative val="0"/>
          <c:cat>
            <c:strRef>
              <c:f>'Task 3'!$A$4:$A$14</c:f>
              <c:strCache>
                <c:ptCount val="10"/>
                <c:pt idx="0">
                  <c:v>Bitcoin</c:v>
                </c:pt>
                <c:pt idx="1">
                  <c:v>Bitcoin Cash</c:v>
                </c:pt>
                <c:pt idx="2">
                  <c:v>Bittensor</c:v>
                </c:pt>
                <c:pt idx="3">
                  <c:v>BNB</c:v>
                </c:pt>
                <c:pt idx="4">
                  <c:v>Ethereum</c:v>
                </c:pt>
                <c:pt idx="5">
                  <c:v>Monero</c:v>
                </c:pt>
                <c:pt idx="6">
                  <c:v>PAX Gold</c:v>
                </c:pt>
                <c:pt idx="7">
                  <c:v>Tether Gold</c:v>
                </c:pt>
                <c:pt idx="8">
                  <c:v>yearn.finance</c:v>
                </c:pt>
                <c:pt idx="9">
                  <c:v>Zcash</c:v>
                </c:pt>
              </c:strCache>
            </c:strRef>
          </c:cat>
          <c:val>
            <c:numRef>
              <c:f>'Task 3'!$B$4:$B$14</c:f>
              <c:numCache>
                <c:formatCode>General</c:formatCode>
                <c:ptCount val="10"/>
                <c:pt idx="0">
                  <c:v>64208.558875300405</c:v>
                </c:pt>
                <c:pt idx="1">
                  <c:v>492.38137295839084</c:v>
                </c:pt>
                <c:pt idx="2">
                  <c:v>135.49554905085381</c:v>
                </c:pt>
                <c:pt idx="3">
                  <c:v>553.35161118747226</c:v>
                </c:pt>
                <c:pt idx="4">
                  <c:v>1864.3822156385158</c:v>
                </c:pt>
                <c:pt idx="5">
                  <c:v>352.79228877811454</c:v>
                </c:pt>
                <c:pt idx="6">
                  <c:v>5147.0162574468268</c:v>
                </c:pt>
                <c:pt idx="7">
                  <c:v>5116.1191399314794</c:v>
                </c:pt>
                <c:pt idx="8">
                  <c:v>2869.695928071777</c:v>
                </c:pt>
                <c:pt idx="9">
                  <c:v>207.43881532511736</c:v>
                </c:pt>
              </c:numCache>
            </c:numRef>
          </c:val>
        </c:ser>
        <c:ser>
          <c:idx val="1"/>
          <c:order val="1"/>
          <c:tx>
            <c:strRef>
              <c:f>'Task 3'!$C$3</c:f>
              <c:strCache>
                <c:ptCount val="1"/>
                <c:pt idx="0">
                  <c:v> Price_7d_Ago</c:v>
                </c:pt>
              </c:strCache>
            </c:strRef>
          </c:tx>
          <c:spPr>
            <a:solidFill>
              <a:schemeClr val="accent2"/>
            </a:solidFill>
            <a:ln>
              <a:noFill/>
            </a:ln>
            <a:effectLst/>
          </c:spPr>
          <c:invertIfNegative val="0"/>
          <c:cat>
            <c:strRef>
              <c:f>'Task 3'!$A$4:$A$14</c:f>
              <c:strCache>
                <c:ptCount val="10"/>
                <c:pt idx="0">
                  <c:v>Bitcoin</c:v>
                </c:pt>
                <c:pt idx="1">
                  <c:v>Bitcoin Cash</c:v>
                </c:pt>
                <c:pt idx="2">
                  <c:v>Bittensor</c:v>
                </c:pt>
                <c:pt idx="3">
                  <c:v>BNB</c:v>
                </c:pt>
                <c:pt idx="4">
                  <c:v>Ethereum</c:v>
                </c:pt>
                <c:pt idx="5">
                  <c:v>Monero</c:v>
                </c:pt>
                <c:pt idx="6">
                  <c:v>PAX Gold</c:v>
                </c:pt>
                <c:pt idx="7">
                  <c:v>Tether Gold</c:v>
                </c:pt>
                <c:pt idx="8">
                  <c:v>yearn.finance</c:v>
                </c:pt>
                <c:pt idx="9">
                  <c:v>Zcash</c:v>
                </c:pt>
              </c:strCache>
            </c:strRef>
          </c:cat>
          <c:val>
            <c:numRef>
              <c:f>'Task 3'!$C$4:$C$14</c:f>
              <c:numCache>
                <c:formatCode>General</c:formatCode>
                <c:ptCount val="10"/>
                <c:pt idx="0">
                  <c:v>76189.345619899206</c:v>
                </c:pt>
                <c:pt idx="1">
                  <c:v>525.71461759344209</c:v>
                </c:pt>
                <c:pt idx="2">
                  <c:v>192.80391209343153</c:v>
                </c:pt>
                <c:pt idx="3">
                  <c:v>755.00964110786833</c:v>
                </c:pt>
                <c:pt idx="4">
                  <c:v>2258.0888565676223</c:v>
                </c:pt>
                <c:pt idx="5">
                  <c:v>391.54001656420093</c:v>
                </c:pt>
                <c:pt idx="6">
                  <c:v>5066.8659814766606</c:v>
                </c:pt>
                <c:pt idx="7">
                  <c:v>5034.9340301460525</c:v>
                </c:pt>
                <c:pt idx="8">
                  <c:v>2886.8675793992193</c:v>
                </c:pt>
                <c:pt idx="9">
                  <c:v>279.59360659599253</c:v>
                </c:pt>
              </c:numCache>
            </c:numRef>
          </c:val>
        </c:ser>
        <c:dLbls>
          <c:showLegendKey val="0"/>
          <c:showVal val="0"/>
          <c:showCatName val="0"/>
          <c:showSerName val="0"/>
          <c:showPercent val="0"/>
          <c:showBubbleSize val="0"/>
        </c:dLbls>
        <c:gapWidth val="219"/>
        <c:overlap val="-27"/>
        <c:axId val="985013136"/>
        <c:axId val="985010784"/>
      </c:barChart>
      <c:catAx>
        <c:axId val="98501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010784"/>
        <c:crosses val="autoZero"/>
        <c:auto val="1"/>
        <c:lblAlgn val="ctr"/>
        <c:lblOffset val="100"/>
        <c:noMultiLvlLbl val="0"/>
      </c:catAx>
      <c:valAx>
        <c:axId val="985010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0131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4000">
          <a:srgbClr val="C1D8F8"/>
        </a:gs>
        <a:gs pos="28000">
          <a:schemeClr val="accent1">
            <a:tint val="44500"/>
            <a:satMod val="160000"/>
          </a:schemeClr>
        </a:gs>
        <a:gs pos="85000">
          <a:schemeClr val="accent1">
            <a:tint val="23500"/>
            <a:satMod val="160000"/>
          </a:schemeClr>
        </a:gs>
      </a:gsLst>
      <a:lin ang="16200000" scaled="1"/>
    </a:gradFill>
    <a:ln w="9525" cap="flat" cmpd="sng" algn="ctr">
      <a:solidFill>
        <a:schemeClr val="tx1">
          <a:lumMod val="15000"/>
          <a:lumOff val="85000"/>
        </a:schemeClr>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4!PivotTable1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Liquidity Distribution of Top 5 Cryptocurrencies (24h Volume)</a:t>
            </a:r>
            <a:endParaRPr lang="en-US"/>
          </a:p>
        </c:rich>
      </c:tx>
      <c:layout>
        <c:manualLayout>
          <c:xMode val="edge"/>
          <c:yMode val="edge"/>
          <c:x val="0.1190429574681543"/>
          <c:y val="3.42368045649072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'task 4'!$B$20</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'task 4'!$A$21:$A$27</c:f>
              <c:strCache>
                <c:ptCount val="6"/>
                <c:pt idx="0">
                  <c:v>Bitcoin</c:v>
                </c:pt>
                <c:pt idx="1">
                  <c:v>BNB</c:v>
                </c:pt>
                <c:pt idx="2">
                  <c:v>Ethereum</c:v>
                </c:pt>
                <c:pt idx="3">
                  <c:v>Others</c:v>
                </c:pt>
                <c:pt idx="4">
                  <c:v>Tether USDt</c:v>
                </c:pt>
                <c:pt idx="5">
                  <c:v>XRP</c:v>
                </c:pt>
              </c:strCache>
            </c:strRef>
          </c:cat>
          <c:val>
            <c:numRef>
              <c:f>'task 4'!$B$21:$B$27</c:f>
              <c:numCache>
                <c:formatCode>General</c:formatCode>
                <c:ptCount val="6"/>
                <c:pt idx="0">
                  <c:v>79431371927.590775</c:v>
                </c:pt>
                <c:pt idx="1">
                  <c:v>4383074905.1874456</c:v>
                </c:pt>
                <c:pt idx="2">
                  <c:v>44450877161.72728</c:v>
                </c:pt>
                <c:pt idx="3">
                  <c:v>64693210379.999115</c:v>
                </c:pt>
                <c:pt idx="4">
                  <c:v>146962642926.80096</c:v>
                </c:pt>
                <c:pt idx="5">
                  <c:v>5464903595.5785408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5!PivotTable2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Cryptocurrencies by Liquidity with Time-Based Access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'Task 5'!$B$3</c:f>
              <c:strCache>
                <c:ptCount val="1"/>
                <c:pt idx="0">
                  <c:v>Total</c:v>
                </c:pt>
              </c:strCache>
            </c:strRef>
          </c:tx>
          <c:spPr>
            <a:solidFill>
              <a:schemeClr val="accent1"/>
            </a:solidFill>
            <a:ln>
              <a:noFill/>
            </a:ln>
            <a:effectLst/>
          </c:spPr>
          <c:invertIfNegative val="0"/>
          <c:cat>
            <c:strRef>
              <c:f>'Task 5'!$A$4:$A$14</c:f>
              <c:strCache>
                <c:ptCount val="10"/>
                <c:pt idx="0">
                  <c:v>Bitcoin</c:v>
                </c:pt>
                <c:pt idx="1">
                  <c:v>BNB</c:v>
                </c:pt>
                <c:pt idx="2">
                  <c:v>Dogecoin</c:v>
                </c:pt>
                <c:pt idx="3">
                  <c:v>Ethereum</c:v>
                </c:pt>
                <c:pt idx="4">
                  <c:v>First Digital USD</c:v>
                </c:pt>
                <c:pt idx="5">
                  <c:v>Solana</c:v>
                </c:pt>
                <c:pt idx="6">
                  <c:v>Tether USDt</c:v>
                </c:pt>
                <c:pt idx="7">
                  <c:v>USDC</c:v>
                </c:pt>
                <c:pt idx="8">
                  <c:v>World Liberty Financial USD</c:v>
                </c:pt>
                <c:pt idx="9">
                  <c:v>XRP</c:v>
                </c:pt>
              </c:strCache>
            </c:strRef>
          </c:cat>
          <c:val>
            <c:numRef>
              <c:f>'Task 5'!$B$4:$B$14</c:f>
              <c:numCache>
                <c:formatCode>General</c:formatCode>
                <c:ptCount val="10"/>
                <c:pt idx="0">
                  <c:v>79431371927.590775</c:v>
                </c:pt>
                <c:pt idx="1">
                  <c:v>4383074905.1874456</c:v>
                </c:pt>
                <c:pt idx="2">
                  <c:v>2006479617.2378588</c:v>
                </c:pt>
                <c:pt idx="3">
                  <c:v>44450877161.72728</c:v>
                </c:pt>
                <c:pt idx="4">
                  <c:v>11378638930.897017</c:v>
                </c:pt>
                <c:pt idx="5">
                  <c:v>7375324263.619132</c:v>
                </c:pt>
                <c:pt idx="6">
                  <c:v>146962642926.80096</c:v>
                </c:pt>
                <c:pt idx="7">
                  <c:v>17960088237.617249</c:v>
                </c:pt>
                <c:pt idx="8">
                  <c:v>2331998634.426074</c:v>
                </c:pt>
                <c:pt idx="9">
                  <c:v>5464903595.5785408</c:v>
                </c:pt>
              </c:numCache>
            </c:numRef>
          </c:val>
        </c:ser>
        <c:dLbls>
          <c:showLegendKey val="0"/>
          <c:showVal val="0"/>
          <c:showCatName val="0"/>
          <c:showSerName val="0"/>
          <c:showPercent val="0"/>
          <c:showBubbleSize val="0"/>
        </c:dLbls>
        <c:gapWidth val="182"/>
        <c:axId val="985011568"/>
        <c:axId val="985013920"/>
      </c:barChart>
      <c:catAx>
        <c:axId val="985011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013920"/>
        <c:crosses val="autoZero"/>
        <c:auto val="1"/>
        <c:lblAlgn val="ctr"/>
        <c:lblOffset val="100"/>
        <c:noMultiLvlLbl val="0"/>
      </c:catAx>
      <c:valAx>
        <c:axId val="985013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0115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4000">
          <a:srgbClr val="C1D8F8"/>
        </a:gs>
        <a:gs pos="85000">
          <a:schemeClr val="accent1">
            <a:tint val="23500"/>
            <a:satMod val="160000"/>
          </a:schemeClr>
        </a:gs>
      </a:gsLst>
      <a:lin ang="162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2!PivotTable2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Price Change Analysis of Cryptocurrencies by Price Range</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'Task 2'!$B$3</c:f>
              <c:strCache>
                <c:ptCount val="1"/>
                <c:pt idx="0">
                  <c:v>Current_Price</c:v>
                </c:pt>
              </c:strCache>
            </c:strRef>
          </c:tx>
          <c:spPr>
            <a:solidFill>
              <a:schemeClr val="accent1"/>
            </a:solidFill>
            <a:ln>
              <a:noFill/>
            </a:ln>
            <a:effectLst/>
          </c:spPr>
          <c:invertIfNegative val="0"/>
          <c:cat>
            <c:strRef>
              <c:f>'Task 2'!$A$4:$A$14</c:f>
              <c:strCache>
                <c:ptCount val="10"/>
                <c:pt idx="0">
                  <c:v>0G</c:v>
                </c:pt>
                <c:pt idx="1">
                  <c:v>dYdX</c:v>
                </c:pt>
                <c:pt idx="2">
                  <c:v>Fluid</c:v>
                </c:pt>
                <c:pt idx="3">
                  <c:v>Four</c:v>
                </c:pt>
                <c:pt idx="4">
                  <c:v>FTX Token</c:v>
                </c:pt>
                <c:pt idx="5">
                  <c:v>Maple Finance</c:v>
                </c:pt>
                <c:pt idx="6">
                  <c:v>Pi</c:v>
                </c:pt>
                <c:pt idx="7">
                  <c:v>Ripple USD</c:v>
                </c:pt>
                <c:pt idx="8">
                  <c:v>TrueUSD</c:v>
                </c:pt>
                <c:pt idx="9">
                  <c:v>USDD</c:v>
                </c:pt>
              </c:strCache>
            </c:strRef>
          </c:cat>
          <c:val>
            <c:numRef>
              <c:f>'Task 2'!$B$4:$B$14</c:f>
              <c:numCache>
                <c:formatCode>"₹"\ #,##0.00</c:formatCode>
                <c:ptCount val="10"/>
                <c:pt idx="0">
                  <c:v>0.83090162498184206</c:v>
                </c:pt>
                <c:pt idx="1">
                  <c:v>0.15169948145184253</c:v>
                </c:pt>
                <c:pt idx="2">
                  <c:v>2.6212842733273813</c:v>
                </c:pt>
                <c:pt idx="3">
                  <c:v>0.29331756723759655</c:v>
                </c:pt>
                <c:pt idx="4">
                  <c:v>0.3882928950675168</c:v>
                </c:pt>
                <c:pt idx="5">
                  <c:v>0.33919794891766891</c:v>
                </c:pt>
                <c:pt idx="6">
                  <c:v>0.16428946276544718</c:v>
                </c:pt>
                <c:pt idx="7">
                  <c:v>0.99984869784091468</c:v>
                </c:pt>
                <c:pt idx="8">
                  <c:v>0.99773379909180548</c:v>
                </c:pt>
                <c:pt idx="9">
                  <c:v>0.99810411764851903</c:v>
                </c:pt>
              </c:numCache>
            </c:numRef>
          </c:val>
        </c:ser>
        <c:ser>
          <c:idx val="1"/>
          <c:order val="1"/>
          <c:tx>
            <c:strRef>
              <c:f>'Task 2'!$C$3</c:f>
              <c:strCache>
                <c:ptCount val="1"/>
                <c:pt idx="0">
                  <c:v>Previous_Price</c:v>
                </c:pt>
              </c:strCache>
            </c:strRef>
          </c:tx>
          <c:spPr>
            <a:solidFill>
              <a:schemeClr val="accent2"/>
            </a:solidFill>
            <a:ln>
              <a:noFill/>
            </a:ln>
            <a:effectLst/>
          </c:spPr>
          <c:invertIfNegative val="0"/>
          <c:cat>
            <c:strRef>
              <c:f>'Task 2'!$A$4:$A$14</c:f>
              <c:strCache>
                <c:ptCount val="10"/>
                <c:pt idx="0">
                  <c:v>0G</c:v>
                </c:pt>
                <c:pt idx="1">
                  <c:v>dYdX</c:v>
                </c:pt>
                <c:pt idx="2">
                  <c:v>Fluid</c:v>
                </c:pt>
                <c:pt idx="3">
                  <c:v>Four</c:v>
                </c:pt>
                <c:pt idx="4">
                  <c:v>FTX Token</c:v>
                </c:pt>
                <c:pt idx="5">
                  <c:v>Maple Finance</c:v>
                </c:pt>
                <c:pt idx="6">
                  <c:v>Pi</c:v>
                </c:pt>
                <c:pt idx="7">
                  <c:v>Ripple USD</c:v>
                </c:pt>
                <c:pt idx="8">
                  <c:v>TrueUSD</c:v>
                </c:pt>
                <c:pt idx="9">
                  <c:v>USDD</c:v>
                </c:pt>
              </c:strCache>
            </c:strRef>
          </c:cat>
          <c:val>
            <c:numRef>
              <c:f>'Task 2'!$C$4:$C$14</c:f>
              <c:numCache>
                <c:formatCode>"₹"\ #,##0.00</c:formatCode>
                <c:ptCount val="10"/>
                <c:pt idx="0">
                  <c:v>0.82664916411738176</c:v>
                </c:pt>
                <c:pt idx="1">
                  <c:v>0.1512500139181073</c:v>
                </c:pt>
                <c:pt idx="2">
                  <c:v>2.6126607720811292</c:v>
                </c:pt>
                <c:pt idx="3">
                  <c:v>0.29258468213703387</c:v>
                </c:pt>
                <c:pt idx="4">
                  <c:v>0.38760759046732896</c:v>
                </c:pt>
                <c:pt idx="5">
                  <c:v>0.33739684359133593</c:v>
                </c:pt>
                <c:pt idx="6">
                  <c:v>0.16364984575491615</c:v>
                </c:pt>
                <c:pt idx="7">
                  <c:v>0.99879216769534751</c:v>
                </c:pt>
                <c:pt idx="8">
                  <c:v>0.99728502781028616</c:v>
                </c:pt>
                <c:pt idx="9">
                  <c:v>0.99737019222044954</c:v>
                </c:pt>
              </c:numCache>
            </c:numRef>
          </c:val>
        </c:ser>
        <c:ser>
          <c:idx val="2"/>
          <c:order val="2"/>
          <c:tx>
            <c:strRef>
              <c:f>'Task 2'!$D$3</c:f>
              <c:strCache>
                <c:ptCount val="1"/>
                <c:pt idx="0">
                  <c:v>Price_Change</c:v>
                </c:pt>
              </c:strCache>
            </c:strRef>
          </c:tx>
          <c:spPr>
            <a:solidFill>
              <a:schemeClr val="accent3"/>
            </a:solidFill>
            <a:ln>
              <a:noFill/>
            </a:ln>
            <a:effectLst/>
          </c:spPr>
          <c:invertIfNegative val="0"/>
          <c:cat>
            <c:strRef>
              <c:f>'Task 2'!$A$4:$A$14</c:f>
              <c:strCache>
                <c:ptCount val="10"/>
                <c:pt idx="0">
                  <c:v>0G</c:v>
                </c:pt>
                <c:pt idx="1">
                  <c:v>dYdX</c:v>
                </c:pt>
                <c:pt idx="2">
                  <c:v>Fluid</c:v>
                </c:pt>
                <c:pt idx="3">
                  <c:v>Four</c:v>
                </c:pt>
                <c:pt idx="4">
                  <c:v>FTX Token</c:v>
                </c:pt>
                <c:pt idx="5">
                  <c:v>Maple Finance</c:v>
                </c:pt>
                <c:pt idx="6">
                  <c:v>Pi</c:v>
                </c:pt>
                <c:pt idx="7">
                  <c:v>Ripple USD</c:v>
                </c:pt>
                <c:pt idx="8">
                  <c:v>TrueUSD</c:v>
                </c:pt>
                <c:pt idx="9">
                  <c:v>USDD</c:v>
                </c:pt>
              </c:strCache>
            </c:strRef>
          </c:cat>
          <c:val>
            <c:numRef>
              <c:f>'Task 2'!$D$4:$D$14</c:f>
              <c:numCache>
                <c:formatCode>General</c:formatCode>
                <c:ptCount val="10"/>
                <c:pt idx="0">
                  <c:v>4.2524608644602946E-3</c:v>
                </c:pt>
                <c:pt idx="1">
                  <c:v>4.4946753373523163E-4</c:v>
                </c:pt>
                <c:pt idx="2">
                  <c:v>8.6235012462521077E-3</c:v>
                </c:pt>
                <c:pt idx="3">
                  <c:v>7.3288510056268574E-4</c:v>
                </c:pt>
                <c:pt idx="4">
                  <c:v>6.8530460018784156E-4</c:v>
                </c:pt>
                <c:pt idx="5">
                  <c:v>1.8011053263329857E-3</c:v>
                </c:pt>
                <c:pt idx="6">
                  <c:v>6.3961701053102948E-4</c:v>
                </c:pt>
                <c:pt idx="7">
                  <c:v>1.0565301455671694E-3</c:v>
                </c:pt>
                <c:pt idx="8">
                  <c:v>4.4877128151932233E-4</c:v>
                </c:pt>
                <c:pt idx="9">
                  <c:v>7.339254280694929E-4</c:v>
                </c:pt>
              </c:numCache>
            </c:numRef>
          </c:val>
        </c:ser>
        <c:dLbls>
          <c:showLegendKey val="0"/>
          <c:showVal val="0"/>
          <c:showCatName val="0"/>
          <c:showSerName val="0"/>
          <c:showPercent val="0"/>
          <c:showBubbleSize val="0"/>
        </c:dLbls>
        <c:gapWidth val="219"/>
        <c:overlap val="-27"/>
        <c:axId val="985560536"/>
        <c:axId val="985560928"/>
      </c:barChart>
      <c:catAx>
        <c:axId val="985560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560928"/>
        <c:crosses val="autoZero"/>
        <c:auto val="1"/>
        <c:lblAlgn val="ctr"/>
        <c:lblOffset val="100"/>
        <c:noMultiLvlLbl val="0"/>
      </c:catAx>
      <c:valAx>
        <c:axId val="985560928"/>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5605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4000">
          <a:srgbClr val="C1D8F8"/>
        </a:gs>
        <a:gs pos="28000">
          <a:schemeClr val="accent1">
            <a:tint val="44500"/>
            <a:satMod val="160000"/>
          </a:schemeClr>
        </a:gs>
        <a:gs pos="85000">
          <a:schemeClr val="accent1">
            <a:tint val="23500"/>
            <a:satMod val="160000"/>
          </a:schemeClr>
        </a:gs>
      </a:gsLst>
      <a:lin ang="16200000" scaled="1"/>
    </a:gradFill>
    <a:ln w="9525" cap="flat" cmpd="sng" algn="ctr">
      <a:solidFill>
        <a:schemeClr val="tx1">
          <a:lumMod val="15000"/>
          <a:lumOff val="85000"/>
        </a:schemeClr>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3!PivotTable9</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Comparison of Cryptocurrency Prices: 24 Hours vs 7 Days Ago</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clustered"/>
        <c:varyColors val="0"/>
        <c:ser>
          <c:idx val="0"/>
          <c:order val="0"/>
          <c:tx>
            <c:strRef>
              <c:f>'Task 3'!$B$3</c:f>
              <c:strCache>
                <c:ptCount val="1"/>
                <c:pt idx="0">
                  <c:v> Price_24h_Ago</c:v>
                </c:pt>
              </c:strCache>
            </c:strRef>
          </c:tx>
          <c:spPr>
            <a:solidFill>
              <a:schemeClr val="accent1"/>
            </a:solidFill>
            <a:ln>
              <a:noFill/>
            </a:ln>
            <a:effectLst/>
          </c:spPr>
          <c:invertIfNegative val="0"/>
          <c:cat>
            <c:strRef>
              <c:f>'Task 3'!$A$4:$A$14</c:f>
              <c:strCache>
                <c:ptCount val="10"/>
                <c:pt idx="0">
                  <c:v>Bitcoin</c:v>
                </c:pt>
                <c:pt idx="1">
                  <c:v>Bitcoin Cash</c:v>
                </c:pt>
                <c:pt idx="2">
                  <c:v>Bittensor</c:v>
                </c:pt>
                <c:pt idx="3">
                  <c:v>BNB</c:v>
                </c:pt>
                <c:pt idx="4">
                  <c:v>Ethereum</c:v>
                </c:pt>
                <c:pt idx="5">
                  <c:v>Monero</c:v>
                </c:pt>
                <c:pt idx="6">
                  <c:v>PAX Gold</c:v>
                </c:pt>
                <c:pt idx="7">
                  <c:v>Tether Gold</c:v>
                </c:pt>
                <c:pt idx="8">
                  <c:v>yearn.finance</c:v>
                </c:pt>
                <c:pt idx="9">
                  <c:v>Zcash</c:v>
                </c:pt>
              </c:strCache>
            </c:strRef>
          </c:cat>
          <c:val>
            <c:numRef>
              <c:f>'Task 3'!$B$4:$B$14</c:f>
              <c:numCache>
                <c:formatCode>General</c:formatCode>
                <c:ptCount val="10"/>
                <c:pt idx="0">
                  <c:v>64208.558875300405</c:v>
                </c:pt>
                <c:pt idx="1">
                  <c:v>492.38137295839084</c:v>
                </c:pt>
                <c:pt idx="2">
                  <c:v>135.49554905085381</c:v>
                </c:pt>
                <c:pt idx="3">
                  <c:v>553.35161118747226</c:v>
                </c:pt>
                <c:pt idx="4">
                  <c:v>1864.3822156385158</c:v>
                </c:pt>
                <c:pt idx="5">
                  <c:v>352.79228877811454</c:v>
                </c:pt>
                <c:pt idx="6">
                  <c:v>5147.0162574468268</c:v>
                </c:pt>
                <c:pt idx="7">
                  <c:v>5116.1191399314794</c:v>
                </c:pt>
                <c:pt idx="8">
                  <c:v>2869.695928071777</c:v>
                </c:pt>
                <c:pt idx="9">
                  <c:v>207.43881532511736</c:v>
                </c:pt>
              </c:numCache>
            </c:numRef>
          </c:val>
        </c:ser>
        <c:ser>
          <c:idx val="1"/>
          <c:order val="1"/>
          <c:tx>
            <c:strRef>
              <c:f>'Task 3'!$C$3</c:f>
              <c:strCache>
                <c:ptCount val="1"/>
                <c:pt idx="0">
                  <c:v> Price_7d_Ago</c:v>
                </c:pt>
              </c:strCache>
            </c:strRef>
          </c:tx>
          <c:spPr>
            <a:solidFill>
              <a:schemeClr val="accent2"/>
            </a:solidFill>
            <a:ln>
              <a:noFill/>
            </a:ln>
            <a:effectLst/>
          </c:spPr>
          <c:invertIfNegative val="0"/>
          <c:cat>
            <c:strRef>
              <c:f>'Task 3'!$A$4:$A$14</c:f>
              <c:strCache>
                <c:ptCount val="10"/>
                <c:pt idx="0">
                  <c:v>Bitcoin</c:v>
                </c:pt>
                <c:pt idx="1">
                  <c:v>Bitcoin Cash</c:v>
                </c:pt>
                <c:pt idx="2">
                  <c:v>Bittensor</c:v>
                </c:pt>
                <c:pt idx="3">
                  <c:v>BNB</c:v>
                </c:pt>
                <c:pt idx="4">
                  <c:v>Ethereum</c:v>
                </c:pt>
                <c:pt idx="5">
                  <c:v>Monero</c:v>
                </c:pt>
                <c:pt idx="6">
                  <c:v>PAX Gold</c:v>
                </c:pt>
                <c:pt idx="7">
                  <c:v>Tether Gold</c:v>
                </c:pt>
                <c:pt idx="8">
                  <c:v>yearn.finance</c:v>
                </c:pt>
                <c:pt idx="9">
                  <c:v>Zcash</c:v>
                </c:pt>
              </c:strCache>
            </c:strRef>
          </c:cat>
          <c:val>
            <c:numRef>
              <c:f>'Task 3'!$C$4:$C$14</c:f>
              <c:numCache>
                <c:formatCode>General</c:formatCode>
                <c:ptCount val="10"/>
                <c:pt idx="0">
                  <c:v>76189.345619899206</c:v>
                </c:pt>
                <c:pt idx="1">
                  <c:v>525.71461759344209</c:v>
                </c:pt>
                <c:pt idx="2">
                  <c:v>192.80391209343153</c:v>
                </c:pt>
                <c:pt idx="3">
                  <c:v>755.00964110786833</c:v>
                </c:pt>
                <c:pt idx="4">
                  <c:v>2258.0888565676223</c:v>
                </c:pt>
                <c:pt idx="5">
                  <c:v>391.54001656420093</c:v>
                </c:pt>
                <c:pt idx="6">
                  <c:v>5066.8659814766606</c:v>
                </c:pt>
                <c:pt idx="7">
                  <c:v>5034.9340301460525</c:v>
                </c:pt>
                <c:pt idx="8">
                  <c:v>2886.8675793992193</c:v>
                </c:pt>
                <c:pt idx="9">
                  <c:v>279.59360659599253</c:v>
                </c:pt>
              </c:numCache>
            </c:numRef>
          </c:val>
        </c:ser>
        <c:dLbls>
          <c:showLegendKey val="0"/>
          <c:showVal val="0"/>
          <c:showCatName val="0"/>
          <c:showSerName val="0"/>
          <c:showPercent val="0"/>
          <c:showBubbleSize val="0"/>
        </c:dLbls>
        <c:gapWidth val="219"/>
        <c:overlap val="-27"/>
        <c:axId val="985561712"/>
        <c:axId val="985562104"/>
      </c:barChart>
      <c:catAx>
        <c:axId val="98556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562104"/>
        <c:crosses val="autoZero"/>
        <c:auto val="1"/>
        <c:lblAlgn val="ctr"/>
        <c:lblOffset val="100"/>
        <c:noMultiLvlLbl val="0"/>
      </c:catAx>
      <c:valAx>
        <c:axId val="985562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5617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4000">
          <a:srgbClr val="C1D8F8"/>
        </a:gs>
        <a:gs pos="28000">
          <a:schemeClr val="accent1">
            <a:tint val="44500"/>
            <a:satMod val="160000"/>
          </a:schemeClr>
        </a:gs>
        <a:gs pos="85000">
          <a:schemeClr val="accent1">
            <a:tint val="23500"/>
            <a:satMod val="160000"/>
          </a:schemeClr>
        </a:gs>
      </a:gsLst>
      <a:lin ang="16200000" scaled="1"/>
    </a:gradFill>
    <a:ln w="9525" cap="flat" cmpd="sng" algn="ctr">
      <a:solidFill>
        <a:schemeClr val="tx1">
          <a:lumMod val="15000"/>
          <a:lumOff val="85000"/>
        </a:schemeClr>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4!PivotTable1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Liquidity Distribution of Top 5 Cryptocurrencies (24h Volume)</a:t>
            </a:r>
            <a:endParaRPr lang="en-US"/>
          </a:p>
        </c:rich>
      </c:tx>
      <c:layout>
        <c:manualLayout>
          <c:xMode val="edge"/>
          <c:yMode val="edge"/>
          <c:x val="0.1190429574681543"/>
          <c:y val="3.42368045649072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'task 4'!$B$20</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'task 4'!$A$21:$A$27</c:f>
              <c:strCache>
                <c:ptCount val="6"/>
                <c:pt idx="0">
                  <c:v>Bitcoin</c:v>
                </c:pt>
                <c:pt idx="1">
                  <c:v>BNB</c:v>
                </c:pt>
                <c:pt idx="2">
                  <c:v>Ethereum</c:v>
                </c:pt>
                <c:pt idx="3">
                  <c:v>Others</c:v>
                </c:pt>
                <c:pt idx="4">
                  <c:v>Tether USDt</c:v>
                </c:pt>
                <c:pt idx="5">
                  <c:v>XRP</c:v>
                </c:pt>
              </c:strCache>
            </c:strRef>
          </c:cat>
          <c:val>
            <c:numRef>
              <c:f>'task 4'!$B$21:$B$27</c:f>
              <c:numCache>
                <c:formatCode>General</c:formatCode>
                <c:ptCount val="6"/>
                <c:pt idx="0">
                  <c:v>79431371927.590775</c:v>
                </c:pt>
                <c:pt idx="1">
                  <c:v>4383074905.1874456</c:v>
                </c:pt>
                <c:pt idx="2">
                  <c:v>44450877161.72728</c:v>
                </c:pt>
                <c:pt idx="3">
                  <c:v>64693210379.999115</c:v>
                </c:pt>
                <c:pt idx="4">
                  <c:v>146962642926.80096</c:v>
                </c:pt>
                <c:pt idx="5">
                  <c:v>5464903595.5785408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[Dashboard_2.xlsm]Task 5!PivotTable2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Cryptocurrencies by Liquidity with Time-Based Access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'Task 5'!$B$3</c:f>
              <c:strCache>
                <c:ptCount val="1"/>
                <c:pt idx="0">
                  <c:v>Total</c:v>
                </c:pt>
              </c:strCache>
            </c:strRef>
          </c:tx>
          <c:spPr>
            <a:solidFill>
              <a:schemeClr val="accent1"/>
            </a:solidFill>
            <a:ln>
              <a:noFill/>
            </a:ln>
            <a:effectLst/>
          </c:spPr>
          <c:invertIfNegative val="0"/>
          <c:cat>
            <c:strRef>
              <c:f>'Task 5'!$A$4:$A$14</c:f>
              <c:strCache>
                <c:ptCount val="10"/>
                <c:pt idx="0">
                  <c:v>Bitcoin</c:v>
                </c:pt>
                <c:pt idx="1">
                  <c:v>BNB</c:v>
                </c:pt>
                <c:pt idx="2">
                  <c:v>Dogecoin</c:v>
                </c:pt>
                <c:pt idx="3">
                  <c:v>Ethereum</c:v>
                </c:pt>
                <c:pt idx="4">
                  <c:v>First Digital USD</c:v>
                </c:pt>
                <c:pt idx="5">
                  <c:v>Solana</c:v>
                </c:pt>
                <c:pt idx="6">
                  <c:v>Tether USDt</c:v>
                </c:pt>
                <c:pt idx="7">
                  <c:v>USDC</c:v>
                </c:pt>
                <c:pt idx="8">
                  <c:v>World Liberty Financial USD</c:v>
                </c:pt>
                <c:pt idx="9">
                  <c:v>XRP</c:v>
                </c:pt>
              </c:strCache>
            </c:strRef>
          </c:cat>
          <c:val>
            <c:numRef>
              <c:f>'Task 5'!$B$4:$B$14</c:f>
              <c:numCache>
                <c:formatCode>General</c:formatCode>
                <c:ptCount val="10"/>
                <c:pt idx="0">
                  <c:v>79431371927.590775</c:v>
                </c:pt>
                <c:pt idx="1">
                  <c:v>4383074905.1874456</c:v>
                </c:pt>
                <c:pt idx="2">
                  <c:v>2006479617.2378588</c:v>
                </c:pt>
                <c:pt idx="3">
                  <c:v>44450877161.72728</c:v>
                </c:pt>
                <c:pt idx="4">
                  <c:v>11378638930.897017</c:v>
                </c:pt>
                <c:pt idx="5">
                  <c:v>7375324263.619132</c:v>
                </c:pt>
                <c:pt idx="6">
                  <c:v>146962642926.80096</c:v>
                </c:pt>
                <c:pt idx="7">
                  <c:v>17960088237.617249</c:v>
                </c:pt>
                <c:pt idx="8">
                  <c:v>2331998634.426074</c:v>
                </c:pt>
                <c:pt idx="9">
                  <c:v>5464903595.5785408</c:v>
                </c:pt>
              </c:numCache>
            </c:numRef>
          </c:val>
        </c:ser>
        <c:dLbls>
          <c:showLegendKey val="0"/>
          <c:showVal val="0"/>
          <c:showCatName val="0"/>
          <c:showSerName val="0"/>
          <c:showPercent val="0"/>
          <c:showBubbleSize val="0"/>
        </c:dLbls>
        <c:gapWidth val="182"/>
        <c:axId val="985559360"/>
        <c:axId val="985560144"/>
      </c:barChart>
      <c:catAx>
        <c:axId val="985559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560144"/>
        <c:crosses val="autoZero"/>
        <c:auto val="1"/>
        <c:lblAlgn val="ctr"/>
        <c:lblOffset val="100"/>
        <c:noMultiLvlLbl val="0"/>
      </c:catAx>
      <c:valAx>
        <c:axId val="9855601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5593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4000">
          <a:srgbClr val="C1D8F8"/>
        </a:gs>
        <a:gs pos="85000">
          <a:schemeClr val="accent1">
            <a:tint val="23500"/>
            <a:satMod val="160000"/>
          </a:schemeClr>
        </a:gs>
      </a:gsLst>
      <a:lin ang="162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498475</xdr:colOff>
      <xdr:row>1</xdr:row>
      <xdr:rowOff>130175</xdr:rowOff>
    </xdr:from>
    <xdr:to>
      <xdr:col>10</xdr:col>
      <xdr:colOff>590550</xdr:colOff>
      <xdr:row>13</xdr:row>
      <xdr:rowOff>158750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0</xdr:colOff>
      <xdr:row>16</xdr:row>
      <xdr:rowOff>88900</xdr:rowOff>
    </xdr:from>
    <xdr:to>
      <xdr:col>7</xdr:col>
      <xdr:colOff>0</xdr:colOff>
      <xdr:row>30</xdr:row>
      <xdr:rowOff>34925</xdr:rowOff>
    </xdr:to>
    <mc:AlternateContent xmlns:mc="http://schemas.openxmlformats.org/markup-compatibility/2006" xmlns:a14="http://schemas.microsoft.com/office/drawing/2010/main">
      <mc:Choice Requires="a14">
        <xdr:graphicFrame macro="">
          <xdr:nvGraphicFramePr>
            <xdr:cNvPr id="3" name="price_range"/>
            <xdr:cNvGraphicFramePr/>
          </xdr:nvGraphicFramePr>
          <xdr:xfrm>
            <a:off x="0" y="0"/>
            <a:ext cx="0" cy="0"/>
          </xdr:xfrm>
          <a:graphic>
            <a:graphicData uri="http://schemas.microsoft.com/office/drawing/2010/slicer">
              <sle:slicer xmlns:sle="http://schemas.microsoft.com/office/drawing/2010/slicer" name="price_range"/>
            </a:graphicData>
          </a:graphic>
        </xdr:graphicFrame>
      </mc:Choice>
      <mc:Fallback xmlns="">
        <xdr:sp macro="" textlink="">
          <xdr:nvSpPr>
            <xdr:cNvPr id="0" name=""/>
            <xdr:cNvSpPr>
              <a:spLocks noTextEdit="1"/>
            </xdr:cNvSpPr>
          </xdr:nvSpPr>
          <xdr:spPr>
            <a:xfrm>
              <a:off x="3536950" y="30353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1314450</xdr:colOff>
      <xdr:row>1</xdr:row>
      <xdr:rowOff>79375</xdr:rowOff>
    </xdr:from>
    <xdr:to>
      <xdr:col>12</xdr:col>
      <xdr:colOff>127000</xdr:colOff>
      <xdr:row>16</xdr:row>
      <xdr:rowOff>60325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63500</xdr:colOff>
      <xdr:row>15</xdr:row>
      <xdr:rowOff>120650</xdr:rowOff>
    </xdr:from>
    <xdr:to>
      <xdr:col>3</xdr:col>
      <xdr:colOff>1009650</xdr:colOff>
      <xdr:row>29</xdr:row>
      <xdr:rowOff>66675</xdr:rowOff>
    </xdr:to>
    <mc:AlternateContent xmlns:mc="http://schemas.openxmlformats.org/markup-compatibility/2006" xmlns:a14="http://schemas.microsoft.com/office/drawing/2010/main">
      <mc:Choice Requires="a14">
        <xdr:graphicFrame macro="">
          <xdr:nvGraphicFramePr>
            <xdr:cNvPr id="5" name="Price_Range 1"/>
            <xdr:cNvGraphicFramePr/>
          </xdr:nvGraphicFramePr>
          <xdr:xfrm>
            <a:off x="0" y="0"/>
            <a:ext cx="0" cy="0"/>
          </xdr:xfrm>
          <a:graphic>
            <a:graphicData uri="http://schemas.microsoft.com/office/drawing/2010/slicer">
              <sle:slicer xmlns:sle="http://schemas.microsoft.com/office/drawing/2010/slicer" name="Price_Range 1"/>
            </a:graphicData>
          </a:graphic>
        </xdr:graphicFrame>
      </mc:Choice>
      <mc:Fallback xmlns="">
        <xdr:sp macro="" textlink="">
          <xdr:nvSpPr>
            <xdr:cNvPr id="0" name=""/>
            <xdr:cNvSpPr>
              <a:spLocks noTextEdit="1"/>
            </xdr:cNvSpPr>
          </xdr:nvSpPr>
          <xdr:spPr>
            <a:xfrm>
              <a:off x="1873250" y="2882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69850</xdr:colOff>
      <xdr:row>15</xdr:row>
      <xdr:rowOff>0</xdr:rowOff>
    </xdr:from>
    <xdr:to>
      <xdr:col>7</xdr:col>
      <xdr:colOff>69850</xdr:colOff>
      <xdr:row>28</xdr:row>
      <xdr:rowOff>130175</xdr:rowOff>
    </xdr:to>
    <mc:AlternateContent xmlns:mc="http://schemas.openxmlformats.org/markup-compatibility/2006" xmlns:a14="http://schemas.microsoft.com/office/drawing/2010/main">
      <mc:Choice Requires="a14">
        <xdr:graphicFrame macro="">
          <xdr:nvGraphicFramePr>
            <xdr:cNvPr id="2" name="Price_Category"/>
            <xdr:cNvGraphicFramePr/>
          </xdr:nvGraphicFramePr>
          <xdr:xfrm>
            <a:off x="0" y="0"/>
            <a:ext cx="0" cy="0"/>
          </xdr:xfrm>
          <a:graphic>
            <a:graphicData uri="http://schemas.microsoft.com/office/drawing/2010/slicer">
              <sle:slicer xmlns:sle="http://schemas.microsoft.com/office/drawing/2010/slicer" name="Price_Category"/>
            </a:graphicData>
          </a:graphic>
        </xdr:graphicFrame>
      </mc:Choice>
      <mc:Fallback xmlns="">
        <xdr:sp macro="" textlink="">
          <xdr:nvSpPr>
            <xdr:cNvPr id="0" name=""/>
            <xdr:cNvSpPr>
              <a:spLocks noTextEdit="1"/>
            </xdr:cNvSpPr>
          </xdr:nvSpPr>
          <xdr:spPr>
            <a:xfrm>
              <a:off x="3441700" y="2762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260350</xdr:colOff>
      <xdr:row>0</xdr:row>
      <xdr:rowOff>177799</xdr:rowOff>
    </xdr:from>
    <xdr:to>
      <xdr:col>11</xdr:col>
      <xdr:colOff>317500</xdr:colOff>
      <xdr:row>13</xdr:row>
      <xdr:rowOff>9524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187325</xdr:colOff>
      <xdr:row>1</xdr:row>
      <xdr:rowOff>98425</xdr:rowOff>
    </xdr:from>
    <xdr:to>
      <xdr:col>9</xdr:col>
      <xdr:colOff>492125</xdr:colOff>
      <xdr:row>16</xdr:row>
      <xdr:rowOff>79375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590550</xdr:colOff>
      <xdr:row>2</xdr:row>
      <xdr:rowOff>44450</xdr:rowOff>
    </xdr:from>
    <xdr:to>
      <xdr:col>15</xdr:col>
      <xdr:colOff>266700</xdr:colOff>
      <xdr:row>6</xdr:row>
      <xdr:rowOff>101600</xdr:rowOff>
    </xdr:to>
    <xdr:sp macro="" textlink="">
      <xdr:nvSpPr>
        <xdr:cNvPr id="3" name="TextBox 2" hidden="1"/>
        <xdr:cNvSpPr txBox="1"/>
      </xdr:nvSpPr>
      <xdr:spPr>
        <a:xfrm>
          <a:off x="7759700" y="412750"/>
          <a:ext cx="3333750" cy="79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FF0000"/>
              </a:solidFill>
            </a:rPr>
            <a:t>Please open in working hours (9 am to 5 pm)</a:t>
          </a:r>
        </a:p>
        <a:p>
          <a:endParaRPr lang="en-IN" sz="1100"/>
        </a:p>
      </xdr:txBody>
    </xdr:sp>
    <xdr:clientData/>
  </xdr:twoCellAnchor>
  <xdr:twoCellAnchor>
    <xdr:from>
      <xdr:col>10</xdr:col>
      <xdr:colOff>107950</xdr:colOff>
      <xdr:row>2</xdr:row>
      <xdr:rowOff>44450</xdr:rowOff>
    </xdr:from>
    <xdr:to>
      <xdr:col>15</xdr:col>
      <xdr:colOff>349250</xdr:colOff>
      <xdr:row>6</xdr:row>
      <xdr:rowOff>152400</xdr:rowOff>
    </xdr:to>
    <xdr:sp macro="" textlink="">
      <xdr:nvSpPr>
        <xdr:cNvPr id="4" name="TextBox 3" hidden="1"/>
        <xdr:cNvSpPr txBox="1"/>
      </xdr:nvSpPr>
      <xdr:spPr>
        <a:xfrm>
          <a:off x="7886700" y="412750"/>
          <a:ext cx="3289300"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rgbClr val="FF0000"/>
              </a:solidFill>
            </a:rPr>
            <a:t>Please open in working hours (9 am to 5 pm)</a:t>
          </a:r>
        </a:p>
        <a:p>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31750</xdr:colOff>
      <xdr:row>0</xdr:row>
      <xdr:rowOff>0</xdr:rowOff>
    </xdr:from>
    <xdr:to>
      <xdr:col>5</xdr:col>
      <xdr:colOff>31750</xdr:colOff>
      <xdr:row>13</xdr:row>
      <xdr:rowOff>130175</xdr:rowOff>
    </xdr:to>
    <mc:AlternateContent xmlns:mc="http://schemas.openxmlformats.org/markup-compatibility/2006" xmlns:a14="http://schemas.microsoft.com/office/drawing/2010/main">
      <mc:Choice Requires="a14">
        <xdr:graphicFrame macro="">
          <xdr:nvGraphicFramePr>
            <xdr:cNvPr id="2" name="Price_range2"/>
            <xdr:cNvGraphicFramePr/>
          </xdr:nvGraphicFramePr>
          <xdr:xfrm>
            <a:off x="0" y="0"/>
            <a:ext cx="0" cy="0"/>
          </xdr:xfrm>
          <a:graphic>
            <a:graphicData uri="http://schemas.microsoft.com/office/drawing/2010/slicer">
              <sle:slicer xmlns:sle="http://schemas.microsoft.com/office/drawing/2010/slicer" name="Price_range2"/>
            </a:graphicData>
          </a:graphic>
        </xdr:graphicFrame>
      </mc:Choice>
      <mc:Fallback xmlns="">
        <xdr:sp macro="" textlink="">
          <xdr:nvSpPr>
            <xdr:cNvPr id="0" name=""/>
            <xdr:cNvSpPr>
              <a:spLocks noTextEdit="1"/>
            </xdr:cNvSpPr>
          </xdr:nvSpPr>
          <xdr:spPr>
            <a:xfrm>
              <a:off x="3423397" y="0"/>
              <a:ext cx="1837765" cy="25581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488950</xdr:colOff>
      <xdr:row>6</xdr:row>
      <xdr:rowOff>133350</xdr:rowOff>
    </xdr:from>
    <xdr:to>
      <xdr:col>10</xdr:col>
      <xdr:colOff>279400</xdr:colOff>
      <xdr:row>11</xdr:row>
      <xdr:rowOff>38100</xdr:rowOff>
    </xdr:to>
    <xdr:sp macro="" textlink="$J$20">
      <xdr:nvSpPr>
        <xdr:cNvPr id="3" name="Rounded Rectangle 2"/>
        <xdr:cNvSpPr/>
      </xdr:nvSpPr>
      <xdr:spPr>
        <a:xfrm>
          <a:off x="6889750" y="1238250"/>
          <a:ext cx="2222500" cy="825500"/>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A5983835-5CA9-40B1-A29D-21BA4A093B4F}" type="TxLink">
            <a:rPr lang="en-US" sz="1100" b="0" i="0" u="none" strike="noStrike">
              <a:solidFill>
                <a:srgbClr val="000000"/>
              </a:solidFill>
              <a:latin typeface="Calibri"/>
              <a:ea typeface="Calibri"/>
              <a:cs typeface="Calibri"/>
            </a:rPr>
            <a:pPr algn="ctr"/>
            <a:t>Trust Wallet Token</a:t>
          </a:fld>
          <a:endParaRPr lang="en-IN" sz="1100"/>
        </a:p>
      </xdr:txBody>
    </xdr:sp>
    <xdr:clientData/>
  </xdr:twoCellAnchor>
  <xdr:twoCellAnchor>
    <xdr:from>
      <xdr:col>7</xdr:col>
      <xdr:colOff>599141</xdr:colOff>
      <xdr:row>7</xdr:row>
      <xdr:rowOff>14940</xdr:rowOff>
    </xdr:from>
    <xdr:to>
      <xdr:col>10</xdr:col>
      <xdr:colOff>192741</xdr:colOff>
      <xdr:row>8</xdr:row>
      <xdr:rowOff>40340</xdr:rowOff>
    </xdr:to>
    <xdr:sp macro="" textlink="">
      <xdr:nvSpPr>
        <xdr:cNvPr id="4" name="TextBox 3"/>
        <xdr:cNvSpPr txBox="1"/>
      </xdr:nvSpPr>
      <xdr:spPr>
        <a:xfrm>
          <a:off x="7053729" y="1322293"/>
          <a:ext cx="2029012" cy="21216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Best Coin</a:t>
          </a:r>
          <a:r>
            <a:rPr lang="en-IN" sz="1100" baseline="0"/>
            <a:t> Name</a:t>
          </a:r>
          <a:endParaRPr lang="en-IN" sz="1100"/>
        </a:p>
      </xdr:txBody>
    </xdr:sp>
    <xdr:clientData/>
  </xdr:twoCellAnchor>
  <xdr:twoCellAnchor>
    <xdr:from>
      <xdr:col>2</xdr:col>
      <xdr:colOff>546100</xdr:colOff>
      <xdr:row>15</xdr:row>
      <xdr:rowOff>44450</xdr:rowOff>
    </xdr:from>
    <xdr:to>
      <xdr:col>6</xdr:col>
      <xdr:colOff>196850</xdr:colOff>
      <xdr:row>19</xdr:row>
      <xdr:rowOff>133350</xdr:rowOff>
    </xdr:to>
    <xdr:sp macro="" textlink="$L$20">
      <xdr:nvSpPr>
        <xdr:cNvPr id="5" name="Rounded Rectangle 4"/>
        <xdr:cNvSpPr/>
      </xdr:nvSpPr>
      <xdr:spPr>
        <a:xfrm>
          <a:off x="3898900" y="2806700"/>
          <a:ext cx="2089150" cy="825500"/>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4E862F64-A34E-4D6B-8595-D5E7ABBAE70C}" type="TxLink">
            <a:rPr lang="en-US" sz="1100" b="0" i="0" u="none" strike="noStrike">
              <a:solidFill>
                <a:srgbClr val="000000"/>
              </a:solidFill>
              <a:latin typeface="Calibri"/>
              <a:ea typeface="Calibri"/>
              <a:cs typeface="Calibri"/>
            </a:rPr>
            <a:pPr algn="ctr"/>
            <a:t>-15.83725287</a:t>
          </a:fld>
          <a:endParaRPr lang="en-IN" sz="1100"/>
        </a:p>
      </xdr:txBody>
    </xdr:sp>
    <xdr:clientData/>
  </xdr:twoCellAnchor>
  <xdr:twoCellAnchor>
    <xdr:from>
      <xdr:col>11</xdr:col>
      <xdr:colOff>393700</xdr:colOff>
      <xdr:row>8</xdr:row>
      <xdr:rowOff>171450</xdr:rowOff>
    </xdr:from>
    <xdr:to>
      <xdr:col>13</xdr:col>
      <xdr:colOff>603250</xdr:colOff>
      <xdr:row>13</xdr:row>
      <xdr:rowOff>76200</xdr:rowOff>
    </xdr:to>
    <xdr:sp macro="" textlink="$J$26">
      <xdr:nvSpPr>
        <xdr:cNvPr id="6" name="Rounded Rectangle 5"/>
        <xdr:cNvSpPr/>
      </xdr:nvSpPr>
      <xdr:spPr>
        <a:xfrm>
          <a:off x="9836150" y="1644650"/>
          <a:ext cx="2108200" cy="825500"/>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BE91FBAD-B76D-4118-9E44-B32A3525736F}" type="TxLink">
            <a:rPr lang="en-US" sz="1100" b="0" i="0" u="none" strike="noStrike">
              <a:solidFill>
                <a:srgbClr val="000000"/>
              </a:solidFill>
              <a:latin typeface="Calibri"/>
              <a:ea typeface="Calibri"/>
              <a:cs typeface="Calibri"/>
            </a:rPr>
            <a:pPr algn="ctr"/>
            <a:t>0.815039513</a:t>
          </a:fld>
          <a:endParaRPr lang="en-IN" sz="1100"/>
        </a:p>
      </xdr:txBody>
    </xdr:sp>
    <xdr:clientData/>
  </xdr:twoCellAnchor>
  <xdr:twoCellAnchor>
    <xdr:from>
      <xdr:col>2</xdr:col>
      <xdr:colOff>584200</xdr:colOff>
      <xdr:row>21</xdr:row>
      <xdr:rowOff>38100</xdr:rowOff>
    </xdr:from>
    <xdr:to>
      <xdr:col>6</xdr:col>
      <xdr:colOff>260350</xdr:colOff>
      <xdr:row>25</xdr:row>
      <xdr:rowOff>127000</xdr:rowOff>
    </xdr:to>
    <xdr:sp macro="" textlink="$L$23">
      <xdr:nvSpPr>
        <xdr:cNvPr id="7" name="Rounded Rectangle 6"/>
        <xdr:cNvSpPr/>
      </xdr:nvSpPr>
      <xdr:spPr>
        <a:xfrm>
          <a:off x="3937000" y="3905250"/>
          <a:ext cx="2114550" cy="825500"/>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63E44FD5-63F3-440B-82F0-90FCB00F44D5}" type="TxLink">
            <a:rPr lang="en-US" sz="1100" b="0" i="0" u="none" strike="noStrike">
              <a:solidFill>
                <a:srgbClr val="000000"/>
              </a:solidFill>
              <a:latin typeface="Calibri"/>
              <a:ea typeface="Calibri"/>
              <a:cs typeface="Calibri"/>
            </a:rPr>
            <a:pPr algn="ctr"/>
            <a:t>200</a:t>
          </a:fld>
          <a:endParaRPr lang="en-IN" sz="1100"/>
        </a:p>
      </xdr:txBody>
    </xdr:sp>
    <xdr:clientData/>
  </xdr:twoCellAnchor>
  <xdr:twoCellAnchor>
    <xdr:from>
      <xdr:col>8</xdr:col>
      <xdr:colOff>0</xdr:colOff>
      <xdr:row>12</xdr:row>
      <xdr:rowOff>133350</xdr:rowOff>
    </xdr:from>
    <xdr:to>
      <xdr:col>10</xdr:col>
      <xdr:colOff>266700</xdr:colOff>
      <xdr:row>17</xdr:row>
      <xdr:rowOff>38100</xdr:rowOff>
    </xdr:to>
    <xdr:sp macro="" textlink="$J$23">
      <xdr:nvSpPr>
        <xdr:cNvPr id="8" name="Rounded Rectangle 7"/>
        <xdr:cNvSpPr/>
      </xdr:nvSpPr>
      <xdr:spPr>
        <a:xfrm>
          <a:off x="7010400" y="2343150"/>
          <a:ext cx="2089150" cy="825500"/>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D8E3DED4-27D1-4FFD-9AFB-084F7FB0BD9A}" type="TxLink">
            <a:rPr lang="en-US" sz="1100" b="0" i="0" u="none" strike="noStrike">
              <a:solidFill>
                <a:srgbClr val="000000"/>
              </a:solidFill>
              <a:latin typeface="Calibri"/>
              <a:ea typeface="Calibri"/>
              <a:cs typeface="Calibri"/>
            </a:rPr>
            <a:pPr algn="ctr"/>
            <a:t>TWT</a:t>
          </a:fld>
          <a:endParaRPr lang="en-IN" sz="1100"/>
        </a:p>
      </xdr:txBody>
    </xdr:sp>
    <xdr:clientData/>
  </xdr:twoCellAnchor>
  <xdr:twoCellAnchor>
    <xdr:from>
      <xdr:col>8</xdr:col>
      <xdr:colOff>139700</xdr:colOff>
      <xdr:row>13</xdr:row>
      <xdr:rowOff>6350</xdr:rowOff>
    </xdr:from>
    <xdr:to>
      <xdr:col>10</xdr:col>
      <xdr:colOff>146050</xdr:colOff>
      <xdr:row>14</xdr:row>
      <xdr:rowOff>38100</xdr:rowOff>
    </xdr:to>
    <xdr:sp macro="" textlink="">
      <xdr:nvSpPr>
        <xdr:cNvPr id="10" name="TextBox 9"/>
        <xdr:cNvSpPr txBox="1"/>
      </xdr:nvSpPr>
      <xdr:spPr>
        <a:xfrm>
          <a:off x="7150100" y="2400300"/>
          <a:ext cx="1828800" cy="2159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Symbol</a:t>
          </a:r>
        </a:p>
      </xdr:txBody>
    </xdr:sp>
    <xdr:clientData/>
  </xdr:twoCellAnchor>
  <xdr:twoCellAnchor>
    <xdr:from>
      <xdr:col>3</xdr:col>
      <xdr:colOff>50800</xdr:colOff>
      <xdr:row>15</xdr:row>
      <xdr:rowOff>107950</xdr:rowOff>
    </xdr:from>
    <xdr:to>
      <xdr:col>6</xdr:col>
      <xdr:colOff>76200</xdr:colOff>
      <xdr:row>16</xdr:row>
      <xdr:rowOff>165100</xdr:rowOff>
    </xdr:to>
    <xdr:sp macro="" textlink="">
      <xdr:nvSpPr>
        <xdr:cNvPr id="11" name="TextBox 10"/>
        <xdr:cNvSpPr txBox="1"/>
      </xdr:nvSpPr>
      <xdr:spPr>
        <a:xfrm>
          <a:off x="4013200" y="2870200"/>
          <a:ext cx="1854200" cy="2413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Average</a:t>
          </a:r>
          <a:r>
            <a:rPr lang="en-IN" sz="1100" baseline="0"/>
            <a:t> Downfall</a:t>
          </a:r>
          <a:endParaRPr lang="en-IN" sz="1100"/>
        </a:p>
      </xdr:txBody>
    </xdr:sp>
    <xdr:clientData/>
  </xdr:twoCellAnchor>
  <xdr:twoCellAnchor>
    <xdr:from>
      <xdr:col>3</xdr:col>
      <xdr:colOff>107950</xdr:colOff>
      <xdr:row>21</xdr:row>
      <xdr:rowOff>95250</xdr:rowOff>
    </xdr:from>
    <xdr:to>
      <xdr:col>6</xdr:col>
      <xdr:colOff>127000</xdr:colOff>
      <xdr:row>22</xdr:row>
      <xdr:rowOff>139700</xdr:rowOff>
    </xdr:to>
    <xdr:sp macro="" textlink="">
      <xdr:nvSpPr>
        <xdr:cNvPr id="12" name="TextBox 11"/>
        <xdr:cNvSpPr txBox="1"/>
      </xdr:nvSpPr>
      <xdr:spPr>
        <a:xfrm>
          <a:off x="4070350" y="3962400"/>
          <a:ext cx="1847850" cy="2286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Total Coins Count</a:t>
          </a:r>
        </a:p>
      </xdr:txBody>
    </xdr:sp>
    <xdr:clientData/>
  </xdr:twoCellAnchor>
  <xdr:twoCellAnchor>
    <xdr:from>
      <xdr:col>11</xdr:col>
      <xdr:colOff>527050</xdr:colOff>
      <xdr:row>9</xdr:row>
      <xdr:rowOff>19050</xdr:rowOff>
    </xdr:from>
    <xdr:to>
      <xdr:col>13</xdr:col>
      <xdr:colOff>425450</xdr:colOff>
      <xdr:row>10</xdr:row>
      <xdr:rowOff>76200</xdr:rowOff>
    </xdr:to>
    <xdr:sp macro="" textlink="">
      <xdr:nvSpPr>
        <xdr:cNvPr id="13" name="TextBox 12"/>
        <xdr:cNvSpPr txBox="1"/>
      </xdr:nvSpPr>
      <xdr:spPr>
        <a:xfrm>
          <a:off x="9969500" y="1676400"/>
          <a:ext cx="1797050" cy="2413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Price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145143</xdr:colOff>
      <xdr:row>0</xdr:row>
      <xdr:rowOff>108857</xdr:rowOff>
    </xdr:from>
    <xdr:to>
      <xdr:col>25</xdr:col>
      <xdr:colOff>417286</xdr:colOff>
      <xdr:row>4</xdr:row>
      <xdr:rowOff>36286</xdr:rowOff>
    </xdr:to>
    <xdr:sp macro="" textlink="">
      <xdr:nvSpPr>
        <xdr:cNvPr id="2" name="TextBox 1"/>
        <xdr:cNvSpPr txBox="1"/>
      </xdr:nvSpPr>
      <xdr:spPr>
        <a:xfrm>
          <a:off x="1968500" y="108857"/>
          <a:ext cx="13643429" cy="653143"/>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IN" sz="2700" b="1">
              <a:solidFill>
                <a:schemeClr val="dk1"/>
              </a:solidFill>
              <a:effectLst/>
              <a:latin typeface="+mn-lt"/>
              <a:ea typeface="+mn-ea"/>
              <a:cs typeface="+mn-cs"/>
            </a:rPr>
            <a:t>CRYPTO</a:t>
          </a:r>
          <a:r>
            <a:rPr lang="en-IN" sz="2700" b="1" baseline="0">
              <a:solidFill>
                <a:schemeClr val="dk1"/>
              </a:solidFill>
              <a:effectLst/>
              <a:latin typeface="+mn-lt"/>
              <a:ea typeface="+mn-ea"/>
              <a:cs typeface="+mn-cs"/>
            </a:rPr>
            <a:t> ANALYSIS DASHBOARD</a:t>
          </a:r>
          <a:endParaRPr lang="en-IN" sz="2700" b="1">
            <a:effectLst/>
          </a:endParaRPr>
        </a:p>
        <a:p>
          <a:pPr algn="ctr"/>
          <a:endParaRPr lang="en-IN" sz="2700" b="1"/>
        </a:p>
      </xdr:txBody>
    </xdr:sp>
    <xdr:clientData/>
  </xdr:twoCellAnchor>
  <xdr:twoCellAnchor>
    <xdr:from>
      <xdr:col>3</xdr:col>
      <xdr:colOff>174625</xdr:colOff>
      <xdr:row>5</xdr:row>
      <xdr:rowOff>9070</xdr:rowOff>
    </xdr:from>
    <xdr:to>
      <xdr:col>7</xdr:col>
      <xdr:colOff>95250</xdr:colOff>
      <xdr:row>10</xdr:row>
      <xdr:rowOff>18143</xdr:rowOff>
    </xdr:to>
    <xdr:sp macro="" textlink="'task 6'!J20">
      <xdr:nvSpPr>
        <xdr:cNvPr id="3" name="Rounded Rectangle 2"/>
        <xdr:cNvSpPr/>
      </xdr:nvSpPr>
      <xdr:spPr>
        <a:xfrm>
          <a:off x="1984375" y="961570"/>
          <a:ext cx="2698750" cy="961573"/>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47191B3A-78B3-4E7D-8F19-AC8ACDFD04B6}" type="TxLink">
            <a:rPr lang="en-US" sz="1500" b="0" i="0" u="none" strike="noStrike">
              <a:solidFill>
                <a:srgbClr val="000000"/>
              </a:solidFill>
              <a:latin typeface="Calibri"/>
              <a:ea typeface="Calibri"/>
              <a:cs typeface="Calibri"/>
            </a:rPr>
            <a:pPr algn="ctr"/>
            <a:t>Trust Wallet Token</a:t>
          </a:fld>
          <a:endParaRPr lang="en-IN" sz="1500"/>
        </a:p>
      </xdr:txBody>
    </xdr:sp>
    <xdr:clientData/>
  </xdr:twoCellAnchor>
  <xdr:twoCellAnchor>
    <xdr:from>
      <xdr:col>7</xdr:col>
      <xdr:colOff>542471</xdr:colOff>
      <xdr:row>5</xdr:row>
      <xdr:rowOff>70756</xdr:rowOff>
    </xdr:from>
    <xdr:to>
      <xdr:col>11</xdr:col>
      <xdr:colOff>337190</xdr:colOff>
      <xdr:row>10</xdr:row>
      <xdr:rowOff>45357</xdr:rowOff>
    </xdr:to>
    <xdr:sp macro="" textlink="'task 6'!J23">
      <xdr:nvSpPr>
        <xdr:cNvPr id="4" name="Rounded Rectangle 3"/>
        <xdr:cNvSpPr/>
      </xdr:nvSpPr>
      <xdr:spPr>
        <a:xfrm>
          <a:off x="4796971" y="977899"/>
          <a:ext cx="2225862" cy="881744"/>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3C6FE3C5-7F91-41CA-A9C3-0123F1246037}" type="TxLink">
            <a:rPr lang="en-US" sz="1500" b="0" i="0" u="none" strike="noStrike">
              <a:solidFill>
                <a:srgbClr val="000000"/>
              </a:solidFill>
              <a:latin typeface="Calibri"/>
              <a:ea typeface="Calibri"/>
              <a:cs typeface="Calibri"/>
            </a:rPr>
            <a:pPr algn="ctr"/>
            <a:t>TWT</a:t>
          </a:fld>
          <a:endParaRPr lang="en-IN" sz="1500"/>
        </a:p>
      </xdr:txBody>
    </xdr:sp>
    <xdr:clientData/>
  </xdr:twoCellAnchor>
  <xdr:twoCellAnchor>
    <xdr:from>
      <xdr:col>12</xdr:col>
      <xdr:colOff>395514</xdr:colOff>
      <xdr:row>5</xdr:row>
      <xdr:rowOff>50798</xdr:rowOff>
    </xdr:from>
    <xdr:to>
      <xdr:col>16</xdr:col>
      <xdr:colOff>190234</xdr:colOff>
      <xdr:row>10</xdr:row>
      <xdr:rowOff>45357</xdr:rowOff>
    </xdr:to>
    <xdr:sp macro="" textlink="'task 6'!J26">
      <xdr:nvSpPr>
        <xdr:cNvPr id="5" name="Rounded Rectangle 4"/>
        <xdr:cNvSpPr/>
      </xdr:nvSpPr>
      <xdr:spPr>
        <a:xfrm>
          <a:off x="7688943" y="957941"/>
          <a:ext cx="2225862" cy="901702"/>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C34EE72B-C9D5-4319-8BBA-72348C45F135}" type="TxLink">
            <a:rPr lang="en-US" sz="1500" b="0" i="0" u="none" strike="noStrike">
              <a:solidFill>
                <a:srgbClr val="000000"/>
              </a:solidFill>
              <a:latin typeface="Calibri"/>
              <a:ea typeface="Calibri"/>
              <a:cs typeface="Calibri"/>
            </a:rPr>
            <a:pPr algn="ctr"/>
            <a:t>0.815039513</a:t>
          </a:fld>
          <a:endParaRPr lang="en-IN" sz="1500"/>
        </a:p>
      </xdr:txBody>
    </xdr:sp>
    <xdr:clientData/>
  </xdr:twoCellAnchor>
  <xdr:twoCellAnchor>
    <xdr:from>
      <xdr:col>21</xdr:col>
      <xdr:colOff>575128</xdr:colOff>
      <xdr:row>4</xdr:row>
      <xdr:rowOff>175984</xdr:rowOff>
    </xdr:from>
    <xdr:to>
      <xdr:col>25</xdr:col>
      <xdr:colOff>369847</xdr:colOff>
      <xdr:row>10</xdr:row>
      <xdr:rowOff>0</xdr:rowOff>
    </xdr:to>
    <xdr:sp macro="" textlink="'task 6'!L23">
      <xdr:nvSpPr>
        <xdr:cNvPr id="6" name="Rounded Rectangle 5"/>
        <xdr:cNvSpPr/>
      </xdr:nvSpPr>
      <xdr:spPr>
        <a:xfrm>
          <a:off x="13338628" y="901698"/>
          <a:ext cx="2225862" cy="912588"/>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C2187BD1-BABA-4818-8527-559C9E7C0058}" type="TxLink">
            <a:rPr lang="en-US" sz="1500" b="0" i="0" u="none" strike="noStrike">
              <a:solidFill>
                <a:srgbClr val="000000"/>
              </a:solidFill>
              <a:latin typeface="Calibri"/>
              <a:ea typeface="Calibri"/>
              <a:cs typeface="Calibri"/>
            </a:rPr>
            <a:pPr algn="ctr"/>
            <a:t>200</a:t>
          </a:fld>
          <a:endParaRPr lang="en-IN" sz="1500"/>
        </a:p>
      </xdr:txBody>
    </xdr:sp>
    <xdr:clientData/>
  </xdr:twoCellAnchor>
  <xdr:twoCellAnchor>
    <xdr:from>
      <xdr:col>17</xdr:col>
      <xdr:colOff>310243</xdr:colOff>
      <xdr:row>5</xdr:row>
      <xdr:rowOff>19955</xdr:rowOff>
    </xdr:from>
    <xdr:to>
      <xdr:col>21</xdr:col>
      <xdr:colOff>104962</xdr:colOff>
      <xdr:row>10</xdr:row>
      <xdr:rowOff>-1</xdr:rowOff>
    </xdr:to>
    <xdr:sp macro="" textlink="'task 6'!L20">
      <xdr:nvSpPr>
        <xdr:cNvPr id="7" name="Rounded Rectangle 6"/>
        <xdr:cNvSpPr/>
      </xdr:nvSpPr>
      <xdr:spPr>
        <a:xfrm>
          <a:off x="10642600" y="927098"/>
          <a:ext cx="2225862" cy="887187"/>
        </a:xfrm>
        <a:prstGeom prst="roundRect">
          <a:avLst/>
        </a:prstGeom>
      </xdr:spPr>
      <xdr:style>
        <a:lnRef idx="2">
          <a:schemeClr val="accent1">
            <a:shade val="50000"/>
          </a:schemeClr>
        </a:lnRef>
        <a:fillRef idx="1003">
          <a:schemeClr val="lt1"/>
        </a:fillRef>
        <a:effectRef idx="0">
          <a:schemeClr val="accent1"/>
        </a:effectRef>
        <a:fontRef idx="minor">
          <a:schemeClr val="lt1"/>
        </a:fontRef>
      </xdr:style>
      <xdr:txBody>
        <a:bodyPr vertOverflow="clip" horzOverflow="clip" rtlCol="0" anchor="ctr"/>
        <a:lstStyle/>
        <a:p>
          <a:pPr algn="ctr"/>
          <a:fld id="{C831FE90-172E-4929-81D4-8092BA5A2307}" type="TxLink">
            <a:rPr lang="en-US" sz="1500" b="0" i="0" u="none" strike="noStrike">
              <a:solidFill>
                <a:srgbClr val="000000"/>
              </a:solidFill>
              <a:latin typeface="Calibri"/>
              <a:ea typeface="Calibri"/>
              <a:cs typeface="Calibri"/>
            </a:rPr>
            <a:pPr algn="ctr"/>
            <a:t>-15.83725287</a:t>
          </a:fld>
          <a:endParaRPr lang="en-IN" sz="1500"/>
        </a:p>
      </xdr:txBody>
    </xdr:sp>
    <xdr:clientData/>
  </xdr:twoCellAnchor>
  <xdr:twoCellAnchor>
    <xdr:from>
      <xdr:col>3</xdr:col>
      <xdr:colOff>487590</xdr:colOff>
      <xdr:row>5</xdr:row>
      <xdr:rowOff>124730</xdr:rowOff>
    </xdr:from>
    <xdr:to>
      <xdr:col>6</xdr:col>
      <xdr:colOff>693245</xdr:colOff>
      <xdr:row>6</xdr:row>
      <xdr:rowOff>155467</xdr:rowOff>
    </xdr:to>
    <xdr:sp macro="" textlink="">
      <xdr:nvSpPr>
        <xdr:cNvPr id="8" name="TextBox 7"/>
        <xdr:cNvSpPr txBox="1"/>
      </xdr:nvSpPr>
      <xdr:spPr>
        <a:xfrm>
          <a:off x="2297340" y="1077230"/>
          <a:ext cx="2015405" cy="221237"/>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t>Best Coin</a:t>
          </a:r>
          <a:r>
            <a:rPr lang="en-IN" sz="1500" b="1" baseline="0"/>
            <a:t> Name</a:t>
          </a:r>
          <a:endParaRPr lang="en-IN" sz="1500" b="1"/>
        </a:p>
      </xdr:txBody>
    </xdr:sp>
    <xdr:clientData/>
  </xdr:twoCellAnchor>
  <xdr:twoCellAnchor>
    <xdr:from>
      <xdr:col>21</xdr:col>
      <xdr:colOff>832758</xdr:colOff>
      <xdr:row>5</xdr:row>
      <xdr:rowOff>75292</xdr:rowOff>
    </xdr:from>
    <xdr:to>
      <xdr:col>25</xdr:col>
      <xdr:colOff>111125</xdr:colOff>
      <xdr:row>6</xdr:row>
      <xdr:rowOff>79376</xdr:rowOff>
    </xdr:to>
    <xdr:sp macro="" textlink="">
      <xdr:nvSpPr>
        <xdr:cNvPr id="9" name="TextBox 8"/>
        <xdr:cNvSpPr txBox="1"/>
      </xdr:nvSpPr>
      <xdr:spPr>
        <a:xfrm>
          <a:off x="18406383" y="1027792"/>
          <a:ext cx="3469367" cy="194584"/>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t>Total</a:t>
          </a:r>
          <a:r>
            <a:rPr lang="en-IN" sz="1500" b="1" baseline="0"/>
            <a:t> Coin Count</a:t>
          </a:r>
          <a:endParaRPr lang="en-IN" sz="1500" b="1"/>
        </a:p>
      </xdr:txBody>
    </xdr:sp>
    <xdr:clientData/>
  </xdr:twoCellAnchor>
  <xdr:twoCellAnchor>
    <xdr:from>
      <xdr:col>17</xdr:col>
      <xdr:colOff>422729</xdr:colOff>
      <xdr:row>5</xdr:row>
      <xdr:rowOff>96154</xdr:rowOff>
    </xdr:from>
    <xdr:to>
      <xdr:col>21</xdr:col>
      <xdr:colOff>20598</xdr:colOff>
      <xdr:row>6</xdr:row>
      <xdr:rowOff>126891</xdr:rowOff>
    </xdr:to>
    <xdr:sp macro="" textlink="">
      <xdr:nvSpPr>
        <xdr:cNvPr id="10" name="TextBox 9"/>
        <xdr:cNvSpPr txBox="1"/>
      </xdr:nvSpPr>
      <xdr:spPr>
        <a:xfrm>
          <a:off x="10755086" y="1003297"/>
          <a:ext cx="2029012" cy="21216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IN" sz="1500" b="1">
              <a:solidFill>
                <a:schemeClr val="dk1"/>
              </a:solidFill>
              <a:effectLst/>
              <a:latin typeface="+mn-lt"/>
              <a:ea typeface="+mn-ea"/>
              <a:cs typeface="+mn-cs"/>
            </a:rPr>
            <a:t>Average</a:t>
          </a:r>
          <a:r>
            <a:rPr lang="en-IN" sz="1500" b="1" baseline="0">
              <a:solidFill>
                <a:schemeClr val="dk1"/>
              </a:solidFill>
              <a:effectLst/>
              <a:latin typeface="+mn-lt"/>
              <a:ea typeface="+mn-ea"/>
              <a:cs typeface="+mn-cs"/>
            </a:rPr>
            <a:t> Downfall</a:t>
          </a:r>
          <a:endParaRPr lang="en-IN" sz="1500" b="1">
            <a:effectLst/>
          </a:endParaRPr>
        </a:p>
        <a:p>
          <a:pPr algn="ctr"/>
          <a:endParaRPr lang="en-IN" sz="1100"/>
        </a:p>
      </xdr:txBody>
    </xdr:sp>
    <xdr:clientData/>
  </xdr:twoCellAnchor>
  <xdr:twoCellAnchor>
    <xdr:from>
      <xdr:col>12</xdr:col>
      <xdr:colOff>520700</xdr:colOff>
      <xdr:row>5</xdr:row>
      <xdr:rowOff>121555</xdr:rowOff>
    </xdr:from>
    <xdr:to>
      <xdr:col>16</xdr:col>
      <xdr:colOff>118570</xdr:colOff>
      <xdr:row>6</xdr:row>
      <xdr:rowOff>152292</xdr:rowOff>
    </xdr:to>
    <xdr:sp macro="" textlink="">
      <xdr:nvSpPr>
        <xdr:cNvPr id="11" name="TextBox 10"/>
        <xdr:cNvSpPr txBox="1"/>
      </xdr:nvSpPr>
      <xdr:spPr>
        <a:xfrm>
          <a:off x="7814129" y="1028698"/>
          <a:ext cx="2029012" cy="21216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t>Price</a:t>
          </a:r>
        </a:p>
      </xdr:txBody>
    </xdr:sp>
    <xdr:clientData/>
  </xdr:twoCellAnchor>
  <xdr:twoCellAnchor>
    <xdr:from>
      <xdr:col>7</xdr:col>
      <xdr:colOff>669636</xdr:colOff>
      <xdr:row>5</xdr:row>
      <xdr:rowOff>119742</xdr:rowOff>
    </xdr:from>
    <xdr:to>
      <xdr:col>11</xdr:col>
      <xdr:colOff>252826</xdr:colOff>
      <xdr:row>6</xdr:row>
      <xdr:rowOff>138546</xdr:rowOff>
    </xdr:to>
    <xdr:sp macro="" textlink="">
      <xdr:nvSpPr>
        <xdr:cNvPr id="12" name="TextBox 11"/>
        <xdr:cNvSpPr txBox="1"/>
      </xdr:nvSpPr>
      <xdr:spPr>
        <a:xfrm>
          <a:off x="5310909" y="1043378"/>
          <a:ext cx="2561917" cy="203532"/>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t>Symbol</a:t>
          </a:r>
        </a:p>
      </xdr:txBody>
    </xdr:sp>
    <xdr:clientData/>
  </xdr:twoCellAnchor>
  <xdr:twoCellAnchor>
    <xdr:from>
      <xdr:col>3</xdr:col>
      <xdr:colOff>299357</xdr:colOff>
      <xdr:row>11</xdr:row>
      <xdr:rowOff>150092</xdr:rowOff>
    </xdr:from>
    <xdr:to>
      <xdr:col>12</xdr:col>
      <xdr:colOff>0</xdr:colOff>
      <xdr:row>27</xdr:row>
      <xdr:rowOff>57728</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348837</xdr:colOff>
      <xdr:row>11</xdr:row>
      <xdr:rowOff>36283</xdr:rowOff>
    </xdr:from>
    <xdr:to>
      <xdr:col>15</xdr:col>
      <xdr:colOff>1117023</xdr:colOff>
      <xdr:row>26</xdr:row>
      <xdr:rowOff>178953</xdr:rowOff>
    </xdr:to>
    <mc:AlternateContent xmlns:mc="http://schemas.openxmlformats.org/markup-compatibility/2006" xmlns:a14="http://schemas.microsoft.com/office/drawing/2010/main">
      <mc:Choice Requires="a14">
        <xdr:graphicFrame macro="">
          <xdr:nvGraphicFramePr>
            <xdr:cNvPr id="14" name="price_range 2"/>
            <xdr:cNvGraphicFramePr/>
          </xdr:nvGraphicFramePr>
          <xdr:xfrm>
            <a:off x="0" y="0"/>
            <a:ext cx="0" cy="0"/>
          </xdr:xfrm>
          <a:graphic>
            <a:graphicData uri="http://schemas.microsoft.com/office/drawing/2010/slicer">
              <sle:slicer xmlns:sle="http://schemas.microsoft.com/office/drawing/2010/slicer" name="price_range 2"/>
            </a:graphicData>
          </a:graphic>
        </xdr:graphicFrame>
      </mc:Choice>
      <mc:Fallback xmlns="">
        <xdr:sp macro="" textlink="">
          <xdr:nvSpPr>
            <xdr:cNvPr id="0" name=""/>
            <xdr:cNvSpPr>
              <a:spLocks noTextEdit="1"/>
            </xdr:cNvSpPr>
          </xdr:nvSpPr>
          <xdr:spPr>
            <a:xfrm>
              <a:off x="9095962" y="2131783"/>
              <a:ext cx="2482686" cy="30001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1412875</xdr:colOff>
      <xdr:row>27</xdr:row>
      <xdr:rowOff>150091</xdr:rowOff>
    </xdr:from>
    <xdr:to>
      <xdr:col>25</xdr:col>
      <xdr:colOff>219365</xdr:colOff>
      <xdr:row>46</xdr:row>
      <xdr:rowOff>161638</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73602</xdr:colOff>
      <xdr:row>28</xdr:row>
      <xdr:rowOff>184727</xdr:rowOff>
    </xdr:from>
    <xdr:to>
      <xdr:col>15</xdr:col>
      <xdr:colOff>330488</xdr:colOff>
      <xdr:row>45</xdr:row>
      <xdr:rowOff>109682</xdr:rowOff>
    </xdr:to>
    <mc:AlternateContent xmlns:mc="http://schemas.openxmlformats.org/markup-compatibility/2006" xmlns:a14="http://schemas.microsoft.com/office/drawing/2010/main">
      <mc:Choice Requires="a14">
        <xdr:graphicFrame macro="">
          <xdr:nvGraphicFramePr>
            <xdr:cNvPr id="16" name="Price_Range 3"/>
            <xdr:cNvGraphicFramePr/>
          </xdr:nvGraphicFramePr>
          <xdr:xfrm>
            <a:off x="0" y="0"/>
            <a:ext cx="0" cy="0"/>
          </xdr:xfrm>
          <a:graphic>
            <a:graphicData uri="http://schemas.microsoft.com/office/drawing/2010/slicer">
              <sle:slicer xmlns:sle="http://schemas.microsoft.com/office/drawing/2010/slicer" name="Price_Range 3"/>
            </a:graphicData>
          </a:graphic>
        </xdr:graphicFrame>
      </mc:Choice>
      <mc:Fallback xmlns="">
        <xdr:sp macro="" textlink="">
          <xdr:nvSpPr>
            <xdr:cNvPr id="0" name=""/>
            <xdr:cNvSpPr>
              <a:spLocks noTextEdit="1"/>
            </xdr:cNvSpPr>
          </xdr:nvSpPr>
          <xdr:spPr>
            <a:xfrm>
              <a:off x="7614227" y="5518727"/>
              <a:ext cx="3177886" cy="3163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392544</xdr:colOff>
      <xdr:row>47</xdr:row>
      <xdr:rowOff>142875</xdr:rowOff>
    </xdr:from>
    <xdr:to>
      <xdr:col>12</xdr:col>
      <xdr:colOff>63500</xdr:colOff>
      <xdr:row>66</xdr:row>
      <xdr:rowOff>23090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334818</xdr:colOff>
      <xdr:row>48</xdr:row>
      <xdr:rowOff>142875</xdr:rowOff>
    </xdr:from>
    <xdr:to>
      <xdr:col>16</xdr:col>
      <xdr:colOff>111125</xdr:colOff>
      <xdr:row>64</xdr:row>
      <xdr:rowOff>57727</xdr:rowOff>
    </xdr:to>
    <mc:AlternateContent xmlns:mc="http://schemas.openxmlformats.org/markup-compatibility/2006" xmlns:a14="http://schemas.microsoft.com/office/drawing/2010/main">
      <mc:Choice Requires="a14">
        <xdr:graphicFrame macro="">
          <xdr:nvGraphicFramePr>
            <xdr:cNvPr id="18" name="Price_Category 1"/>
            <xdr:cNvGraphicFramePr/>
          </xdr:nvGraphicFramePr>
          <xdr:xfrm>
            <a:off x="0" y="0"/>
            <a:ext cx="0" cy="0"/>
          </xdr:xfrm>
          <a:graphic>
            <a:graphicData uri="http://schemas.microsoft.com/office/drawing/2010/slicer">
              <sle:slicer xmlns:sle="http://schemas.microsoft.com/office/drawing/2010/slicer" name="Price_Category 1"/>
            </a:graphicData>
          </a:graphic>
        </xdr:graphicFrame>
      </mc:Choice>
      <mc:Fallback xmlns="">
        <xdr:sp macro="" textlink="">
          <xdr:nvSpPr>
            <xdr:cNvPr id="0" name=""/>
            <xdr:cNvSpPr>
              <a:spLocks noTextEdit="1"/>
            </xdr:cNvSpPr>
          </xdr:nvSpPr>
          <xdr:spPr>
            <a:xfrm>
              <a:off x="9685193" y="9286875"/>
              <a:ext cx="2522682" cy="29628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238125</xdr:colOff>
      <xdr:row>65</xdr:row>
      <xdr:rowOff>30512</xdr:rowOff>
    </xdr:from>
    <xdr:to>
      <xdr:col>25</xdr:col>
      <xdr:colOff>196273</xdr:colOff>
      <xdr:row>83</xdr:row>
      <xdr:rowOff>150091</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saveData="0" refreshedBy="KIIT" refreshedDate="46065.448280439814" backgroundQuery="1" createdVersion="5" refreshedVersion="5" minRefreshableVersion="3" recordCount="0" supportSubquery="1" supportAdvancedDrill="1">
  <cacheSource type="external" connectionId="2"/>
  <cacheFields count="3">
    <cacheField name="[CryptoTable].[coin name].[coin name]" caption="coin name" numFmtId="0" level="1">
      <sharedItems count="5">
        <s v="Bitcoin"/>
        <s v="Ethereum"/>
        <s v="First Digital USD"/>
        <s v="Tether USDt"/>
        <s v="USDC"/>
      </sharedItems>
    </cacheField>
    <cacheField name="[Measures].[Sum of volume_24h]" caption="Sum of volume_24h" numFmtId="0" hierarchy="19" level="32767"/>
    <cacheField name="[CryptoTable].[Price_Category].[Price_Category]" caption="Price_Category" numFmtId="0" hierarchy="14" level="1">
      <sharedItems containsSemiMixedTypes="0" containsNonDate="0" containsString="0"/>
    </cacheField>
  </cacheFields>
  <cacheHierarchies count="22">
    <cacheHierarchy uniqueName="[CryptoTable].[coin name]" caption="coin name" attribute="1" defaultMemberUniqueName="[CryptoTable].[coin name].[All]" allUniqueName="[CryptoTable].[coin name].[All]" dimensionUniqueName="[CryptoTable]" displayFolder="" count="2" memberValueDatatype="130" unbalanced="0">
      <fieldsUsage count="2">
        <fieldUsage x="-1"/>
        <fieldUsage x="0"/>
      </fieldsUsage>
    </cacheHierarchy>
    <cacheHierarchy uniqueName="[CryptoTable].[symbol]" caption="symbol" attribute="1" defaultMemberUniqueName="[CryptoTable].[symbol].[All]" allUniqueName="[CryptoTable].[symbol].[All]" dimensionUniqueName="[CryptoTable]" displayFolder="" count="0" memberValueDatatype="130" unbalanced="0"/>
    <cacheHierarchy uniqueName="[CryptoTable].[price_USD]" caption="price_USD" attribute="1" defaultMemberUniqueName="[CryptoTable].[price_USD].[All]" allUniqueName="[CryptoTable].[price_USD].[All]" dimensionUniqueName="[CryptoTable]" displayFolder="" count="0" memberValueDatatype="5" unbalanced="0"/>
    <cacheHierarchy uniqueName="[CryptoTable].[1h change (%)]" caption="1h change (%)" attribute="1" defaultMemberUniqueName="[CryptoTable].[1h change (%)].[All]" allUniqueName="[CryptoTable].[1h change (%)].[All]" dimensionUniqueName="[CryptoTable]" displayFolder="" count="0" memberValueDatatype="5" unbalanced="0"/>
    <cacheHierarchy uniqueName="[CryptoTable].[24h change (%)]" caption="24h change (%)" attribute="1" defaultMemberUniqueName="[CryptoTable].[24h change (%)].[All]" allUniqueName="[CryptoTable].[24h change (%)].[All]" dimensionUniqueName="[CryptoTable]" displayFolder="" count="0" memberValueDatatype="5" unbalanced="0"/>
    <cacheHierarchy uniqueName="[CryptoTable].[market_cap]" caption="market_cap" attribute="1" defaultMemberUniqueName="[CryptoTable].[market_cap].[All]" allUniqueName="[CryptoTable].[market_cap].[All]" dimensionUniqueName="[CryptoTable]" displayFolder="" count="0" memberValueDatatype="5" unbalanced="0"/>
    <cacheHierarchy uniqueName="[CryptoTable].[volume_24h]" caption="volume_24h" attribute="1" defaultMemberUniqueName="[CryptoTable].[volume_24h].[All]" allUniqueName="[CryptoTable].[volume_24h].[All]" dimensionUniqueName="[CryptoTable]" displayFolder="" count="0" memberValueDatatype="5" unbalanced="0"/>
    <cacheHierarchy uniqueName="[CryptoTable].[circulating_supply]" caption="circulating_supply" attribute="1" defaultMemberUniqueName="[CryptoTable].[circulating_supply].[All]" allUniqueName="[CryptoTable].[circulating_supply].[All]" dimensionUniqueName="[CryptoTable]" displayFolder="" count="0" memberValueDatatype="5" unbalanced="0"/>
    <cacheHierarchy uniqueName="[CryptoTable].[Dollar Volume Per Supply]" caption="Dollar Volume Per Supply" attribute="1" defaultMemberUniqueName="[CryptoTable].[Dollar Volume Per Supply].[All]" allUniqueName="[CryptoTable].[Dollar Volume Per Supply].[All]" dimensionUniqueName="[CryptoTable]" displayFolder="" count="0" memberValueDatatype="5" unbalanced="0"/>
    <cacheHierarchy uniqueName="[CryptoTable].[Rank]" caption="Rank" attribute="1" defaultMemberUniqueName="[CryptoTable].[Rank].[All]" allUniqueName="[CryptoTable].[Rank].[All]" dimensionUniqueName="[CryptoTable]" displayFolder="" count="0" memberValueDatatype="20" unbalanced="0"/>
    <cacheHierarchy uniqueName="[CryptoTable].[Price Range]" caption="Price Range" attribute="1" defaultMemberUniqueName="[CryptoTable].[Price Range].[All]" allUniqueName="[CryptoTable].[Price Range].[All]" dimensionUniqueName="[CryptoTable]" displayFolder="" count="0" memberValueDatatype="130" unbalanced="0"/>
    <cacheHierarchy uniqueName="[CryptoTable].[Previous_Price]" caption="Previous_Price" attribute="1" defaultMemberUniqueName="[CryptoTable].[Previous_Price].[All]" allUniqueName="[CryptoTable].[Previous_Price].[All]" dimensionUniqueName="[CryptoTable]" displayFolder="" count="0" memberValueDatatype="5" unbalanced="0"/>
    <cacheHierarchy uniqueName="[CryptoTable].[price_change]" caption="price_change" attribute="1" defaultMemberUniqueName="[CryptoTable].[price_change].[All]" allUniqueName="[CryptoTable].[price_change].[All]" dimensionUniqueName="[CryptoTable]" displayFolder="" count="0" memberValueDatatype="5" unbalanced="0"/>
    <cacheHierarchy uniqueName="[CryptoTable].[price_range]" caption="price_range" attribute="1" defaultMemberUniqueName="[CryptoTable].[price_range].[All]" allUniqueName="[CryptoTable].[price_range].[All]" dimensionUniqueName="[CryptoTable]" displayFolder="" count="0" memberValueDatatype="130" unbalanced="0"/>
    <cacheHierarchy uniqueName="[CryptoTable].[Price_Category]" caption="Price_Category" attribute="1" defaultMemberUniqueName="[CryptoTable].[Price_Category].[All]" allUniqueName="[CryptoTable].[Price_Category].[All]" dimensionUniqueName="[CryptoTable]" displayFolder="" count="2" memberValueDatatype="130" unbalanced="0">
      <fieldsUsage count="2">
        <fieldUsage x="-1"/>
        <fieldUsage x="2"/>
      </fieldsUsage>
    </cacheHierarchy>
    <cacheHierarchy uniqueName="[CryptoTable].[top5_others]" caption="top5_others" attribute="1" defaultMemberUniqueName="[CryptoTable].[top5_others].[All]" allUniqueName="[CryptoTable].[top5_others].[All]" dimensionUniqueName="[CryptoTable]" displayFolder="" count="0" memberValueDatatype="130" unbalanced="0"/>
    <cacheHierarchy uniqueName="[Measures].[Sum of price_change]" caption="Sum of price_change" measure="1" displayFolder="" measureGroup="CryptoTable" count="0">
      <extLst>
        <ext xmlns:x15="http://schemas.microsoft.com/office/spreadsheetml/2010/11/main" uri="{B97F6D7D-B522-45F9-BDA1-12C45D357490}">
          <x15:cacheHierarchy aggregatedColumn="12"/>
        </ext>
      </extLst>
    </cacheHierarchy>
    <cacheHierarchy uniqueName="[Measures].[Sum of price_USD]" caption="Sum of price_USD" measure="1" displayFolder="" measureGroup="CryptoTable" count="0">
      <extLst>
        <ext xmlns:x15="http://schemas.microsoft.com/office/spreadsheetml/2010/11/main" uri="{B97F6D7D-B522-45F9-BDA1-12C45D357490}">
          <x15:cacheHierarchy aggregatedColumn="2"/>
        </ext>
      </extLst>
    </cacheHierarchy>
    <cacheHierarchy uniqueName="[Measures].[Sum of Previous_Price]" caption="Sum of Previous_Price" measure="1" displayFolder="" measureGroup="CryptoTable" count="0">
      <extLst>
        <ext xmlns:x15="http://schemas.microsoft.com/office/spreadsheetml/2010/11/main" uri="{B97F6D7D-B522-45F9-BDA1-12C45D357490}">
          <x15:cacheHierarchy aggregatedColumn="11"/>
        </ext>
      </extLst>
    </cacheHierarchy>
    <cacheHierarchy uniqueName="[Measures].[Sum of volume_24h]" caption="Sum of volume_24h" measure="1" displayFolder="" measureGroup="CryptoTable" count="0" oneField="1">
      <fieldsUsage count="1">
        <fieldUsage x="1"/>
      </fieldsUsage>
      <extLst>
        <ext xmlns:x15="http://schemas.microsoft.com/office/spreadsheetml/2010/11/main" uri="{B97F6D7D-B522-45F9-BDA1-12C45D357490}">
          <x15:cacheHierarchy aggregatedColumn="6"/>
        </ext>
      </extLst>
    </cacheHierarchy>
    <cacheHierarchy uniqueName="[Measures].[__XL_Count CryptoTable]" caption="__XL_Count CryptoTable" measure="1" displayFolder="" measureGroup="CryptoTable" count="0" hidden="1"/>
    <cacheHierarchy uniqueName="[Measures].[__XL_Count of Models]" caption="__XL_Count of Models" measure="1" displayFolder="" count="0" hidden="1"/>
  </cacheHierarchies>
  <kpis count="0"/>
  <dimensions count="2">
    <dimension name="CryptoTable" uniqueName="[CryptoTable]" caption="CryptoTable"/>
    <dimension measure="1" name="Measures" uniqueName="[Measures]" caption="Measures"/>
  </dimensions>
  <measureGroups count="1">
    <measureGroup name="CryptoTable" caption="Crypto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KIIT" refreshedDate="46065.448281018522" backgroundQuery="1" createdVersion="5" refreshedVersion="5" minRefreshableVersion="3" recordCount="0" supportSubquery="1" supportAdvancedDrill="1">
  <cacheSource type="external" connectionId="2"/>
  <cacheFields count="4">
    <cacheField name="[CryptoTable].[coin name].[coin name]" caption="coin name" numFmtId="0" level="1">
      <sharedItems count="5">
        <s v="Bitcoin"/>
        <s v="Ethereum"/>
        <s v="First Digital USD"/>
        <s v="Tether USDt"/>
        <s v="USDC"/>
      </sharedItems>
    </cacheField>
    <cacheField name="[Measures].[Sum of volume_24h]" caption="Sum of volume_24h" numFmtId="0" hierarchy="19" level="32767"/>
    <cacheField name="[CryptoTable].[Price_Category].[Price_Category]" caption="Price_Category" numFmtId="0" hierarchy="14" level="1">
      <sharedItems containsSemiMixedTypes="0" containsNonDate="0" containsString="0"/>
    </cacheField>
    <cacheField name="[CryptoTable].[top5_others].[top5_others]" caption="top5_others" numFmtId="0" hierarchy="15" level="1">
      <sharedItems count="6">
        <s v="Bitcoin"/>
        <s v="BNB"/>
        <s v="Ethereum"/>
        <s v="Others"/>
        <s v="Tether USDt"/>
        <s v="XRP"/>
      </sharedItems>
    </cacheField>
  </cacheFields>
  <cacheHierarchies count="22">
    <cacheHierarchy uniqueName="[CryptoTable].[coin name]" caption="coin name" attribute="1" defaultMemberUniqueName="[CryptoTable].[coin name].[All]" allUniqueName="[CryptoTable].[coin name].[All]" dimensionUniqueName="[CryptoTable]" displayFolder="" count="2" memberValueDatatype="130" unbalanced="0">
      <fieldsUsage count="2">
        <fieldUsage x="-1"/>
        <fieldUsage x="0"/>
      </fieldsUsage>
    </cacheHierarchy>
    <cacheHierarchy uniqueName="[CryptoTable].[symbol]" caption="symbol" attribute="1" defaultMemberUniqueName="[CryptoTable].[symbol].[All]" allUniqueName="[CryptoTable].[symbol].[All]" dimensionUniqueName="[CryptoTable]" displayFolder="" count="0" memberValueDatatype="130" unbalanced="0"/>
    <cacheHierarchy uniqueName="[CryptoTable].[price_USD]" caption="price_USD" attribute="1" defaultMemberUniqueName="[CryptoTable].[price_USD].[All]" allUniqueName="[CryptoTable].[price_USD].[All]" dimensionUniqueName="[CryptoTable]" displayFolder="" count="0" memberValueDatatype="5" unbalanced="0"/>
    <cacheHierarchy uniqueName="[CryptoTable].[1h change (%)]" caption="1h change (%)" attribute="1" defaultMemberUniqueName="[CryptoTable].[1h change (%)].[All]" allUniqueName="[CryptoTable].[1h change (%)].[All]" dimensionUniqueName="[CryptoTable]" displayFolder="" count="0" memberValueDatatype="5" unbalanced="0"/>
    <cacheHierarchy uniqueName="[CryptoTable].[24h change (%)]" caption="24h change (%)" attribute="1" defaultMemberUniqueName="[CryptoTable].[24h change (%)].[All]" allUniqueName="[CryptoTable].[24h change (%)].[All]" dimensionUniqueName="[CryptoTable]" displayFolder="" count="0" memberValueDatatype="5" unbalanced="0"/>
    <cacheHierarchy uniqueName="[CryptoTable].[market_cap]" caption="market_cap" attribute="1" defaultMemberUniqueName="[CryptoTable].[market_cap].[All]" allUniqueName="[CryptoTable].[market_cap].[All]" dimensionUniqueName="[CryptoTable]" displayFolder="" count="0" memberValueDatatype="5" unbalanced="0"/>
    <cacheHierarchy uniqueName="[CryptoTable].[volume_24h]" caption="volume_24h" attribute="1" defaultMemberUniqueName="[CryptoTable].[volume_24h].[All]" allUniqueName="[CryptoTable].[volume_24h].[All]" dimensionUniqueName="[CryptoTable]" displayFolder="" count="0" memberValueDatatype="5" unbalanced="0"/>
    <cacheHierarchy uniqueName="[CryptoTable].[circulating_supply]" caption="circulating_supply" attribute="1" defaultMemberUniqueName="[CryptoTable].[circulating_supply].[All]" allUniqueName="[CryptoTable].[circulating_supply].[All]" dimensionUniqueName="[CryptoTable]" displayFolder="" count="0" memberValueDatatype="5" unbalanced="0"/>
    <cacheHierarchy uniqueName="[CryptoTable].[Dollar Volume Per Supply]" caption="Dollar Volume Per Supply" attribute="1" defaultMemberUniqueName="[CryptoTable].[Dollar Volume Per Supply].[All]" allUniqueName="[CryptoTable].[Dollar Volume Per Supply].[All]" dimensionUniqueName="[CryptoTable]" displayFolder="" count="0" memberValueDatatype="5" unbalanced="0"/>
    <cacheHierarchy uniqueName="[CryptoTable].[Rank]" caption="Rank" attribute="1" defaultMemberUniqueName="[CryptoTable].[Rank].[All]" allUniqueName="[CryptoTable].[Rank].[All]" dimensionUniqueName="[CryptoTable]" displayFolder="" count="0" memberValueDatatype="20" unbalanced="0"/>
    <cacheHierarchy uniqueName="[CryptoTable].[Price Range]" caption="Price Range" attribute="1" defaultMemberUniqueName="[CryptoTable].[Price Range].[All]" allUniqueName="[CryptoTable].[Price Range].[All]" dimensionUniqueName="[CryptoTable]" displayFolder="" count="0" memberValueDatatype="130" unbalanced="0"/>
    <cacheHierarchy uniqueName="[CryptoTable].[Previous_Price]" caption="Previous_Price" attribute="1" defaultMemberUniqueName="[CryptoTable].[Previous_Price].[All]" allUniqueName="[CryptoTable].[Previous_Price].[All]" dimensionUniqueName="[CryptoTable]" displayFolder="" count="0" memberValueDatatype="5" unbalanced="0"/>
    <cacheHierarchy uniqueName="[CryptoTable].[price_change]" caption="price_change" attribute="1" defaultMemberUniqueName="[CryptoTable].[price_change].[All]" allUniqueName="[CryptoTable].[price_change].[All]" dimensionUniqueName="[CryptoTable]" displayFolder="" count="0" memberValueDatatype="5" unbalanced="0"/>
    <cacheHierarchy uniqueName="[CryptoTable].[price_range]" caption="price_range" attribute="1" defaultMemberUniqueName="[CryptoTable].[price_range].[All]" allUniqueName="[CryptoTable].[price_range].[All]" dimensionUniqueName="[CryptoTable]" displayFolder="" count="0" memberValueDatatype="130" unbalanced="0"/>
    <cacheHierarchy uniqueName="[CryptoTable].[Price_Category]" caption="Price_Category" attribute="1" defaultMemberUniqueName="[CryptoTable].[Price_Category].[All]" allUniqueName="[CryptoTable].[Price_Category].[All]" dimensionUniqueName="[CryptoTable]" displayFolder="" count="2" memberValueDatatype="130" unbalanced="0">
      <fieldsUsage count="2">
        <fieldUsage x="-1"/>
        <fieldUsage x="2"/>
      </fieldsUsage>
    </cacheHierarchy>
    <cacheHierarchy uniqueName="[CryptoTable].[top5_others]" caption="top5_others" attribute="1" defaultMemberUniqueName="[CryptoTable].[top5_others].[All]" allUniqueName="[CryptoTable].[top5_others].[All]" dimensionUniqueName="[CryptoTable]" displayFolder="" count="2" memberValueDatatype="130" unbalanced="0">
      <fieldsUsage count="2">
        <fieldUsage x="-1"/>
        <fieldUsage x="3"/>
      </fieldsUsage>
    </cacheHierarchy>
    <cacheHierarchy uniqueName="[Measures].[Sum of price_change]" caption="Sum of price_change" measure="1" displayFolder="" measureGroup="CryptoTable" count="0">
      <extLst>
        <ext xmlns:x15="http://schemas.microsoft.com/office/spreadsheetml/2010/11/main" uri="{B97F6D7D-B522-45F9-BDA1-12C45D357490}">
          <x15:cacheHierarchy aggregatedColumn="12"/>
        </ext>
      </extLst>
    </cacheHierarchy>
    <cacheHierarchy uniqueName="[Measures].[Sum of price_USD]" caption="Sum of price_USD" measure="1" displayFolder="" measureGroup="CryptoTable" count="0">
      <extLst>
        <ext xmlns:x15="http://schemas.microsoft.com/office/spreadsheetml/2010/11/main" uri="{B97F6D7D-B522-45F9-BDA1-12C45D357490}">
          <x15:cacheHierarchy aggregatedColumn="2"/>
        </ext>
      </extLst>
    </cacheHierarchy>
    <cacheHierarchy uniqueName="[Measures].[Sum of Previous_Price]" caption="Sum of Previous_Price" measure="1" displayFolder="" measureGroup="CryptoTable" count="0">
      <extLst>
        <ext xmlns:x15="http://schemas.microsoft.com/office/spreadsheetml/2010/11/main" uri="{B97F6D7D-B522-45F9-BDA1-12C45D357490}">
          <x15:cacheHierarchy aggregatedColumn="11"/>
        </ext>
      </extLst>
    </cacheHierarchy>
    <cacheHierarchy uniqueName="[Measures].[Sum of volume_24h]" caption="Sum of volume_24h" measure="1" displayFolder="" measureGroup="CryptoTable" count="0" oneField="1">
      <fieldsUsage count="1">
        <fieldUsage x="1"/>
      </fieldsUsage>
      <extLst>
        <ext xmlns:x15="http://schemas.microsoft.com/office/spreadsheetml/2010/11/main" uri="{B97F6D7D-B522-45F9-BDA1-12C45D357490}">
          <x15:cacheHierarchy aggregatedColumn="6"/>
        </ext>
      </extLst>
    </cacheHierarchy>
    <cacheHierarchy uniqueName="[Measures].[__XL_Count CryptoTable]" caption="__XL_Count CryptoTable" measure="1" displayFolder="" measureGroup="CryptoTable" count="0" hidden="1"/>
    <cacheHierarchy uniqueName="[Measures].[__XL_Count of Models]" caption="__XL_Count of Models" measure="1" displayFolder="" count="0" hidden="1"/>
  </cacheHierarchies>
  <kpis count="0"/>
  <dimensions count="2">
    <dimension name="CryptoTable" uniqueName="[CryptoTable]" caption="CryptoTable"/>
    <dimension measure="1" name="Measures" uniqueName="[Measures]" caption="Measures"/>
  </dimensions>
  <measureGroups count="1">
    <measureGroup name="CryptoTable" caption="Crypto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KIIT" refreshedDate="46065.458481134257" backgroundQuery="1" createdVersion="5" refreshedVersion="5" minRefreshableVersion="3" recordCount="0" supportSubquery="1" supportAdvancedDrill="1">
  <cacheSource type="external" connectionId="2"/>
  <cacheFields count="5">
    <cacheField name="[CryptoTable].[coin name].[coin name]" caption="coin name" numFmtId="0" level="1">
      <sharedItems count="10">
        <s v="0G"/>
        <s v="dYdX"/>
        <s v="Fluid"/>
        <s v="Four"/>
        <s v="FTX Token"/>
        <s v="Maple Finance"/>
        <s v="Pi"/>
        <s v="Ripple USD"/>
        <s v="TrueUSD"/>
        <s v="USDD"/>
      </sharedItems>
    </cacheField>
    <cacheField name="[Measures].[Sum of price_change]" caption="Sum of price_change" numFmtId="0" hierarchy="16" level="32767"/>
    <cacheField name="[CryptoTable].[price_range].[price_range]" caption="price_range" numFmtId="0" hierarchy="13" level="1">
      <sharedItems containsSemiMixedTypes="0" containsNonDate="0" containsString="0"/>
    </cacheField>
    <cacheField name="[Measures].[Sum of price_USD]" caption="Sum of price_USD" numFmtId="0" hierarchy="17" level="32767"/>
    <cacheField name="[Measures].[Sum of Previous_Price]" caption="Sum of Previous_Price" numFmtId="0" hierarchy="18" level="32767"/>
  </cacheFields>
  <cacheHierarchies count="22">
    <cacheHierarchy uniqueName="[CryptoTable].[coin name]" caption="coin name" attribute="1" defaultMemberUniqueName="[CryptoTable].[coin name].[All]" allUniqueName="[CryptoTable].[coin name].[All]" dimensionUniqueName="[CryptoTable]" displayFolder="" count="2" memberValueDatatype="130" unbalanced="0">
      <fieldsUsage count="2">
        <fieldUsage x="-1"/>
        <fieldUsage x="0"/>
      </fieldsUsage>
    </cacheHierarchy>
    <cacheHierarchy uniqueName="[CryptoTable].[symbol]" caption="symbol" attribute="1" defaultMemberUniqueName="[CryptoTable].[symbol].[All]" allUniqueName="[CryptoTable].[symbol].[All]" dimensionUniqueName="[CryptoTable]" displayFolder="" count="0" memberValueDatatype="130" unbalanced="0"/>
    <cacheHierarchy uniqueName="[CryptoTable].[price_USD]" caption="price_USD" attribute="1" defaultMemberUniqueName="[CryptoTable].[price_USD].[All]" allUniqueName="[CryptoTable].[price_USD].[All]" dimensionUniqueName="[CryptoTable]" displayFolder="" count="0" memberValueDatatype="5" unbalanced="0"/>
    <cacheHierarchy uniqueName="[CryptoTable].[1h change (%)]" caption="1h change (%)" attribute="1" defaultMemberUniqueName="[CryptoTable].[1h change (%)].[All]" allUniqueName="[CryptoTable].[1h change (%)].[All]" dimensionUniqueName="[CryptoTable]" displayFolder="" count="0" memberValueDatatype="5" unbalanced="0"/>
    <cacheHierarchy uniqueName="[CryptoTable].[24h change (%)]" caption="24h change (%)" attribute="1" defaultMemberUniqueName="[CryptoTable].[24h change (%)].[All]" allUniqueName="[CryptoTable].[24h change (%)].[All]" dimensionUniqueName="[CryptoTable]" displayFolder="" count="0" memberValueDatatype="5" unbalanced="0"/>
    <cacheHierarchy uniqueName="[CryptoTable].[market_cap]" caption="market_cap" attribute="1" defaultMemberUniqueName="[CryptoTable].[market_cap].[All]" allUniqueName="[CryptoTable].[market_cap].[All]" dimensionUniqueName="[CryptoTable]" displayFolder="" count="0" memberValueDatatype="5" unbalanced="0"/>
    <cacheHierarchy uniqueName="[CryptoTable].[volume_24h]" caption="volume_24h" attribute="1" defaultMemberUniqueName="[CryptoTable].[volume_24h].[All]" allUniqueName="[CryptoTable].[volume_24h].[All]" dimensionUniqueName="[CryptoTable]" displayFolder="" count="0" memberValueDatatype="5" unbalanced="0"/>
    <cacheHierarchy uniqueName="[CryptoTable].[circulating_supply]" caption="circulating_supply" attribute="1" defaultMemberUniqueName="[CryptoTable].[circulating_supply].[All]" allUniqueName="[CryptoTable].[circulating_supply].[All]" dimensionUniqueName="[CryptoTable]" displayFolder="" count="0" memberValueDatatype="5" unbalanced="0"/>
    <cacheHierarchy uniqueName="[CryptoTable].[Dollar Volume Per Supply]" caption="Dollar Volume Per Supply" attribute="1" defaultMemberUniqueName="[CryptoTable].[Dollar Volume Per Supply].[All]" allUniqueName="[CryptoTable].[Dollar Volume Per Supply].[All]" dimensionUniqueName="[CryptoTable]" displayFolder="" count="0" memberValueDatatype="5" unbalanced="0"/>
    <cacheHierarchy uniqueName="[CryptoTable].[Rank]" caption="Rank" attribute="1" defaultMemberUniqueName="[CryptoTable].[Rank].[All]" allUniqueName="[CryptoTable].[Rank].[All]" dimensionUniqueName="[CryptoTable]" displayFolder="" count="0" memberValueDatatype="20" unbalanced="0"/>
    <cacheHierarchy uniqueName="[CryptoTable].[Price Range]" caption="Price Range" attribute="1" defaultMemberUniqueName="[CryptoTable].[Price Range].[All]" allUniqueName="[CryptoTable].[Price Range].[All]" dimensionUniqueName="[CryptoTable]" displayFolder="" count="0" memberValueDatatype="130" unbalanced="0"/>
    <cacheHierarchy uniqueName="[CryptoTable].[Previous_Price]" caption="Previous_Price" attribute="1" defaultMemberUniqueName="[CryptoTable].[Previous_Price].[All]" allUniqueName="[CryptoTable].[Previous_Price].[All]" dimensionUniqueName="[CryptoTable]" displayFolder="" count="0" memberValueDatatype="5" unbalanced="0"/>
    <cacheHierarchy uniqueName="[CryptoTable].[price_change]" caption="price_change" attribute="1" defaultMemberUniqueName="[CryptoTable].[price_change].[All]" allUniqueName="[CryptoTable].[price_change].[All]" dimensionUniqueName="[CryptoTable]" displayFolder="" count="0" memberValueDatatype="5" unbalanced="0"/>
    <cacheHierarchy uniqueName="[CryptoTable].[price_range]" caption="price_range" attribute="1" defaultMemberUniqueName="[CryptoTable].[price_range].[All]" allUniqueName="[CryptoTable].[price_range].[All]" dimensionUniqueName="[CryptoTable]" displayFolder="" count="2" memberValueDatatype="130" unbalanced="0">
      <fieldsUsage count="2">
        <fieldUsage x="-1"/>
        <fieldUsage x="2"/>
      </fieldsUsage>
    </cacheHierarchy>
    <cacheHierarchy uniqueName="[CryptoTable].[Price_Category]" caption="Price_Category" attribute="1" defaultMemberUniqueName="[CryptoTable].[Price_Category].[All]" allUniqueName="[CryptoTable].[Price_Category].[All]" dimensionUniqueName="[CryptoTable]" displayFolder="" count="0" memberValueDatatype="130" unbalanced="0"/>
    <cacheHierarchy uniqueName="[CryptoTable].[top5_others]" caption="top5_others" attribute="1" defaultMemberUniqueName="[CryptoTable].[top5_others].[All]" allUniqueName="[CryptoTable].[top5_others].[All]" dimensionUniqueName="[CryptoTable]" displayFolder="" count="0" memberValueDatatype="130" unbalanced="0"/>
    <cacheHierarchy uniqueName="[Measures].[Sum of price_change]" caption="Sum of price_change" measure="1" displayFolder="" measureGroup="CryptoTable" count="0" oneField="1">
      <fieldsUsage count="1">
        <fieldUsage x="1"/>
      </fieldsUsage>
      <extLst>
        <ext xmlns:x15="http://schemas.microsoft.com/office/spreadsheetml/2010/11/main" uri="{B97F6D7D-B522-45F9-BDA1-12C45D357490}">
          <x15:cacheHierarchy aggregatedColumn="12"/>
        </ext>
      </extLst>
    </cacheHierarchy>
    <cacheHierarchy uniqueName="[Measures].[Sum of price_USD]" caption="Sum of price_USD" measure="1" displayFolder="" measureGroup="CryptoTable" count="0" oneField="1">
      <fieldsUsage count="1">
        <fieldUsage x="3"/>
      </fieldsUsage>
      <extLst>
        <ext xmlns:x15="http://schemas.microsoft.com/office/spreadsheetml/2010/11/main" uri="{B97F6D7D-B522-45F9-BDA1-12C45D357490}">
          <x15:cacheHierarchy aggregatedColumn="2"/>
        </ext>
      </extLst>
    </cacheHierarchy>
    <cacheHierarchy uniqueName="[Measures].[Sum of Previous_Price]" caption="Sum of Previous_Price" measure="1" displayFolder="" measureGroup="CryptoTable" count="0" oneField="1">
      <fieldsUsage count="1">
        <fieldUsage x="4"/>
      </fieldsUsage>
      <extLst>
        <ext xmlns:x15="http://schemas.microsoft.com/office/spreadsheetml/2010/11/main" uri="{B97F6D7D-B522-45F9-BDA1-12C45D357490}">
          <x15:cacheHierarchy aggregatedColumn="11"/>
        </ext>
      </extLst>
    </cacheHierarchy>
    <cacheHierarchy uniqueName="[Measures].[Sum of volume_24h]" caption="Sum of volume_24h" measure="1" displayFolder="" measureGroup="CryptoTable" count="0">
      <extLst>
        <ext xmlns:x15="http://schemas.microsoft.com/office/spreadsheetml/2010/11/main" uri="{B97F6D7D-B522-45F9-BDA1-12C45D357490}">
          <x15:cacheHierarchy aggregatedColumn="6"/>
        </ext>
      </extLst>
    </cacheHierarchy>
    <cacheHierarchy uniqueName="[Measures].[__XL_Count CryptoTable]" caption="__XL_Count CryptoTable" measure="1" displayFolder="" measureGroup="CryptoTable" count="0" hidden="1"/>
    <cacheHierarchy uniqueName="[Measures].[__XL_Count of Models]" caption="__XL_Count of Models" measure="1" displayFolder="" count="0" hidden="1"/>
  </cacheHierarchies>
  <kpis count="0"/>
  <dimensions count="2">
    <dimension name="CryptoTable" uniqueName="[CryptoTable]" caption="CryptoTable"/>
    <dimension measure="1" name="Measures" uniqueName="[Measures]" caption="Measures"/>
  </dimensions>
  <measureGroups count="1">
    <measureGroup name="CryptoTable" caption="Crypto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KIIT" refreshedDate="46065.458481712965" backgroundQuery="1" createdVersion="5" refreshedVersion="5" minRefreshableVersion="3" recordCount="0" supportSubquery="1" supportAdvancedDrill="1">
  <cacheSource type="external" connectionId="2"/>
  <cacheFields count="4">
    <cacheField name="[CryptoTable].[coin name].[coin name]" caption="coin name" numFmtId="0" level="1">
      <sharedItems count="10">
        <s v="0G"/>
        <s v="dYdX"/>
        <s v="Fluid"/>
        <s v="Four"/>
        <s v="FTX Token"/>
        <s v="Maple Finance"/>
        <s v="Pi"/>
        <s v="Ripple USD"/>
        <s v="TrueUSD"/>
        <s v="USDD"/>
      </sharedItems>
    </cacheField>
    <cacheField name="[Measures].[Sum of price_change]" caption="Sum of price_change" numFmtId="0" hierarchy="16" level="32767"/>
    <cacheField name="[CryptoTable].[price_range].[price_range]" caption="price_range" numFmtId="0" hierarchy="13" level="1">
      <sharedItems containsSemiMixedTypes="0" containsNonDate="0" containsString="0"/>
    </cacheField>
    <cacheField name="[CryptoTable].[symbol].[symbol]" caption="symbol" numFmtId="0" hierarchy="1" level="1">
      <sharedItems count="10">
        <s v="0G"/>
        <s v="DYDX"/>
        <s v="FLUID"/>
        <s v="FORM"/>
        <s v="FTT"/>
        <s v="PI"/>
        <s v="RLUSD"/>
        <s v="SYRUP"/>
        <s v="TUSD"/>
        <s v="USDD"/>
      </sharedItems>
    </cacheField>
  </cacheFields>
  <cacheHierarchies count="22">
    <cacheHierarchy uniqueName="[CryptoTable].[coin name]" caption="coin name" attribute="1" defaultMemberUniqueName="[CryptoTable].[coin name].[All]" allUniqueName="[CryptoTable].[coin name].[All]" dimensionUniqueName="[CryptoTable]" displayFolder="" count="2" memberValueDatatype="130" unbalanced="0">
      <fieldsUsage count="2">
        <fieldUsage x="-1"/>
        <fieldUsage x="0"/>
      </fieldsUsage>
    </cacheHierarchy>
    <cacheHierarchy uniqueName="[CryptoTable].[symbol]" caption="symbol" attribute="1" defaultMemberUniqueName="[CryptoTable].[symbol].[All]" allUniqueName="[CryptoTable].[symbol].[All]" dimensionUniqueName="[CryptoTable]" displayFolder="" count="2" memberValueDatatype="130" unbalanced="0">
      <fieldsUsage count="2">
        <fieldUsage x="-1"/>
        <fieldUsage x="3"/>
      </fieldsUsage>
    </cacheHierarchy>
    <cacheHierarchy uniqueName="[CryptoTable].[price_USD]" caption="price_USD" attribute="1" defaultMemberUniqueName="[CryptoTable].[price_USD].[All]" allUniqueName="[CryptoTable].[price_USD].[All]" dimensionUniqueName="[CryptoTable]" displayFolder="" count="0" memberValueDatatype="5" unbalanced="0"/>
    <cacheHierarchy uniqueName="[CryptoTable].[1h change (%)]" caption="1h change (%)" attribute="1" defaultMemberUniqueName="[CryptoTable].[1h change (%)].[All]" allUniqueName="[CryptoTable].[1h change (%)].[All]" dimensionUniqueName="[CryptoTable]" displayFolder="" count="0" memberValueDatatype="5" unbalanced="0"/>
    <cacheHierarchy uniqueName="[CryptoTable].[24h change (%)]" caption="24h change (%)" attribute="1" defaultMemberUniqueName="[CryptoTable].[24h change (%)].[All]" allUniqueName="[CryptoTable].[24h change (%)].[All]" dimensionUniqueName="[CryptoTable]" displayFolder="" count="0" memberValueDatatype="5" unbalanced="0"/>
    <cacheHierarchy uniqueName="[CryptoTable].[market_cap]" caption="market_cap" attribute="1" defaultMemberUniqueName="[CryptoTable].[market_cap].[All]" allUniqueName="[CryptoTable].[market_cap].[All]" dimensionUniqueName="[CryptoTable]" displayFolder="" count="0" memberValueDatatype="5" unbalanced="0"/>
    <cacheHierarchy uniqueName="[CryptoTable].[volume_24h]" caption="volume_24h" attribute="1" defaultMemberUniqueName="[CryptoTable].[volume_24h].[All]" allUniqueName="[CryptoTable].[volume_24h].[All]" dimensionUniqueName="[CryptoTable]" displayFolder="" count="0" memberValueDatatype="5" unbalanced="0"/>
    <cacheHierarchy uniqueName="[CryptoTable].[circulating_supply]" caption="circulating_supply" attribute="1" defaultMemberUniqueName="[CryptoTable].[circulating_supply].[All]" allUniqueName="[CryptoTable].[circulating_supply].[All]" dimensionUniqueName="[CryptoTable]" displayFolder="" count="0" memberValueDatatype="5" unbalanced="0"/>
    <cacheHierarchy uniqueName="[CryptoTable].[Dollar Volume Per Supply]" caption="Dollar Volume Per Supply" attribute="1" defaultMemberUniqueName="[CryptoTable].[Dollar Volume Per Supply].[All]" allUniqueName="[CryptoTable].[Dollar Volume Per Supply].[All]" dimensionUniqueName="[CryptoTable]" displayFolder="" count="0" memberValueDatatype="5" unbalanced="0"/>
    <cacheHierarchy uniqueName="[CryptoTable].[Rank]" caption="Rank" attribute="1" defaultMemberUniqueName="[CryptoTable].[Rank].[All]" allUniqueName="[CryptoTable].[Rank].[All]" dimensionUniqueName="[CryptoTable]" displayFolder="" count="0" memberValueDatatype="20" unbalanced="0"/>
    <cacheHierarchy uniqueName="[CryptoTable].[Price Range]" caption="Price Range" attribute="1" defaultMemberUniqueName="[CryptoTable].[Price Range].[All]" allUniqueName="[CryptoTable].[Price Range].[All]" dimensionUniqueName="[CryptoTable]" displayFolder="" count="0" memberValueDatatype="130" unbalanced="0"/>
    <cacheHierarchy uniqueName="[CryptoTable].[Previous_Price]" caption="Previous_Price" attribute="1" defaultMemberUniqueName="[CryptoTable].[Previous_Price].[All]" allUniqueName="[CryptoTable].[Previous_Price].[All]" dimensionUniqueName="[CryptoTable]" displayFolder="" count="0" memberValueDatatype="5" unbalanced="0"/>
    <cacheHierarchy uniqueName="[CryptoTable].[price_change]" caption="price_change" attribute="1" defaultMemberUniqueName="[CryptoTable].[price_change].[All]" allUniqueName="[CryptoTable].[price_change].[All]" dimensionUniqueName="[CryptoTable]" displayFolder="" count="0" memberValueDatatype="5" unbalanced="0"/>
    <cacheHierarchy uniqueName="[CryptoTable].[price_range]" caption="price_range" attribute="1" defaultMemberUniqueName="[CryptoTable].[price_range].[All]" allUniqueName="[CryptoTable].[price_range].[All]" dimensionUniqueName="[CryptoTable]" displayFolder="" count="2" memberValueDatatype="130" unbalanced="0">
      <fieldsUsage count="2">
        <fieldUsage x="-1"/>
        <fieldUsage x="2"/>
      </fieldsUsage>
    </cacheHierarchy>
    <cacheHierarchy uniqueName="[CryptoTable].[Price_Category]" caption="Price_Category" attribute="1" defaultMemberUniqueName="[CryptoTable].[Price_Category].[All]" allUniqueName="[CryptoTable].[Price_Category].[All]" dimensionUniqueName="[CryptoTable]" displayFolder="" count="0" memberValueDatatype="130" unbalanced="0"/>
    <cacheHierarchy uniqueName="[CryptoTable].[top5_others]" caption="top5_others" attribute="1" defaultMemberUniqueName="[CryptoTable].[top5_others].[All]" allUniqueName="[CryptoTable].[top5_others].[All]" dimensionUniqueName="[CryptoTable]" displayFolder="" count="0" memberValueDatatype="130" unbalanced="0"/>
    <cacheHierarchy uniqueName="[Measures].[Sum of price_change]" caption="Sum of price_change" measure="1" displayFolder="" measureGroup="CryptoTable" count="0" oneField="1">
      <fieldsUsage count="1">
        <fieldUsage x="1"/>
      </fieldsUsage>
      <extLst>
        <ext xmlns:x15="http://schemas.microsoft.com/office/spreadsheetml/2010/11/main" uri="{B97F6D7D-B522-45F9-BDA1-12C45D357490}">
          <x15:cacheHierarchy aggregatedColumn="12"/>
        </ext>
      </extLst>
    </cacheHierarchy>
    <cacheHierarchy uniqueName="[Measures].[Sum of price_USD]" caption="Sum of price_USD" measure="1" displayFolder="" measureGroup="CryptoTable" count="0">
      <extLst>
        <ext xmlns:x15="http://schemas.microsoft.com/office/spreadsheetml/2010/11/main" uri="{B97F6D7D-B522-45F9-BDA1-12C45D357490}">
          <x15:cacheHierarchy aggregatedColumn="2"/>
        </ext>
      </extLst>
    </cacheHierarchy>
    <cacheHierarchy uniqueName="[Measures].[Sum of Previous_Price]" caption="Sum of Previous_Price" measure="1" displayFolder="" measureGroup="CryptoTable" count="0">
      <extLst>
        <ext xmlns:x15="http://schemas.microsoft.com/office/spreadsheetml/2010/11/main" uri="{B97F6D7D-B522-45F9-BDA1-12C45D357490}">
          <x15:cacheHierarchy aggregatedColumn="11"/>
        </ext>
      </extLst>
    </cacheHierarchy>
    <cacheHierarchy uniqueName="[Measures].[Sum of volume_24h]" caption="Sum of volume_24h" measure="1" displayFolder="" measureGroup="CryptoTable" count="0">
      <extLst>
        <ext xmlns:x15="http://schemas.microsoft.com/office/spreadsheetml/2010/11/main" uri="{B97F6D7D-B522-45F9-BDA1-12C45D357490}">
          <x15:cacheHierarchy aggregatedColumn="6"/>
        </ext>
      </extLst>
    </cacheHierarchy>
    <cacheHierarchy uniqueName="[Measures].[__XL_Count CryptoTable]" caption="__XL_Count CryptoTable" measure="1" displayFolder="" measureGroup="CryptoTable" count="0" hidden="1"/>
    <cacheHierarchy uniqueName="[Measures].[__XL_Count of Models]" caption="__XL_Count of Models" measure="1" displayFolder="" count="0" hidden="1"/>
  </cacheHierarchies>
  <kpis count="0"/>
  <dimensions count="2">
    <dimension name="CryptoTable" uniqueName="[CryptoTable]" caption="CryptoTable"/>
    <dimension measure="1" name="Measures" uniqueName="[Measures]" caption="Measures"/>
  </dimensions>
  <measureGroups count="1">
    <measureGroup name="CryptoTable" caption="Crypto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r:id="rId1" refreshedBy="KIIT" refreshedDate="46065.497493402778" createdVersion="5" refreshedVersion="5" minRefreshableVersion="3" recordCount="200">
  <cacheSource type="worksheet">
    <worksheetSource name="Table2"/>
  </cacheSource>
  <cacheFields count="11">
    <cacheField name="Name" numFmtId="0">
      <sharedItems count="200">
        <s v="Bitcoin"/>
        <s v="Ethereum"/>
        <s v="Tether USDt"/>
        <s v="XRP"/>
        <s v="BNB"/>
        <s v="USDC"/>
        <s v="Solana"/>
        <s v="TRON"/>
        <s v="Dogecoin"/>
        <s v="Bitcoin Cash"/>
        <s v="Cardano"/>
        <s v="UNUS SED LEO"/>
        <s v="Hyperliquid"/>
        <s v="Ethena USDe"/>
        <s v="Monero"/>
        <s v="Canton"/>
        <s v="Chainlink"/>
        <s v="World Liberty Financial USD"/>
        <s v="Dai"/>
        <s v="Stellar"/>
        <s v="Litecoin"/>
        <s v="PayPal USD"/>
        <s v="Hedera"/>
        <s v="Zcash"/>
        <s v="Avalanche"/>
        <s v="Sui"/>
        <s v="Shiba Inu"/>
        <s v="Toncoin"/>
        <s v="Cronos"/>
        <s v="World Liberty Financial"/>
        <s v="Tether Gold"/>
        <s v="PAX Gold"/>
        <s v="Polkadot"/>
        <s v="Uniswap"/>
        <s v="Mantle"/>
        <s v="MemeCore"/>
        <s v="Aster"/>
        <s v="Aave"/>
        <s v="Bitget Token"/>
        <s v="Global Dollar"/>
        <s v="Bittensor"/>
        <s v="Ripple USD"/>
        <s v="OKB"/>
        <s v="Sky"/>
        <s v="Pepe"/>
        <s v="Internet Computer"/>
        <s v="Ethereum Classic"/>
        <s v="MYX Finance"/>
        <s v="NEAR Protocol"/>
        <s v="Pi"/>
        <s v="Ondo"/>
        <s v="KuCoin Token"/>
        <s v="Worldcoin"/>
        <s v="USDD"/>
        <s v="Polygon (prev. MATIC)"/>
        <s v="Cosmos"/>
        <s v="Ethena"/>
        <s v="Kaspa"/>
        <s v="Quant"/>
        <s v="Midnight"/>
        <s v="Algorand"/>
        <s v="GateToken"/>
        <s v="Flare"/>
        <s v="Aptos"/>
        <s v="OFFICIAL TRUMP"/>
        <s v="United Stables"/>
        <s v="XDC Network"/>
        <s v="LayerZero"/>
        <s v="Pump.fun"/>
        <s v="Filecoin"/>
        <s v="Render"/>
        <s v="VeChain"/>
        <s v="Arbitrum"/>
        <s v="Nexo"/>
        <s v="Bonk"/>
        <s v="TrueUSD"/>
        <s v="Sei"/>
        <s v="EURC"/>
        <s v="Stacks"/>
        <s v="Jupiter"/>
        <s v="pippin"/>
        <s v="PancakeSwap"/>
        <s v="Tezos"/>
        <s v="Dash"/>
        <s v="Morpho"/>
        <s v="Decred"/>
        <s v="Chiliz"/>
        <s v="First Digital USD"/>
        <s v="Story"/>
        <s v="River"/>
        <s v="Optimism"/>
        <s v="Pudgy Penguins"/>
        <s v="Stable"/>
        <s v="JUST"/>
        <s v="Virtuals Protocol"/>
        <s v="Lighter"/>
        <s v="Artificial Superintelligence Alliance"/>
        <s v="Humanity Protocol"/>
        <s v="Kaia"/>
        <s v="Curve DAO Token"/>
        <s v="BitTorrent [New]"/>
        <s v="Kite"/>
        <s v="Gnosis"/>
        <s v="Sun [New]"/>
        <s v="Maple Finance"/>
        <s v="AINFT"/>
        <s v="ether.fi"/>
        <s v="Injective"/>
        <s v="Immutable"/>
        <s v="IOTA"/>
        <s v="Lido DAO"/>
        <s v="Bitcoin SV"/>
        <s v="The Graph"/>
        <s v="FLOKI"/>
        <s v="Celestia"/>
        <s v="JasmyCoin"/>
        <s v="Aerodrome Finance"/>
        <s v="SPX6900"/>
        <s v="DoubleZero"/>
        <s v="Telcoin"/>
        <s v="Axie Infinity"/>
        <s v="Pyth Network"/>
        <s v="Starknet"/>
        <s v="AB"/>
        <s v="Conflux"/>
        <s v="The Sandbox"/>
        <s v="dogwifhat"/>
        <s v="Ethereum Name Service"/>
        <s v="Monad"/>
        <s v="Theta Network"/>
        <s v="Basic Attention Token"/>
        <s v="Trust Wallet Token"/>
        <s v="Sentient"/>
        <s v="Zebec Network"/>
        <s v="Decentraland"/>
        <s v="Onyxcoin"/>
        <s v="Lombard"/>
        <s v="Falcon Finance"/>
        <s v="Vision"/>
        <s v="ZKsync"/>
        <s v="Gala"/>
        <s v="Neo"/>
        <s v="Golem"/>
        <s v="Terra Classic"/>
        <s v="Pendle"/>
        <s v="Convex Finance"/>
        <s v="Fartcoin"/>
        <s v="DeXe"/>
        <s v="MX Token"/>
        <s v="Fluid"/>
        <s v="OriginTrail"/>
        <s v="AWE"/>
        <s v="Compound"/>
        <s v="BUILDon"/>
        <s v="eCash"/>
        <s v="Raydium"/>
        <s v="Helium"/>
        <s v="WEMIX"/>
        <s v="Plasma"/>
        <s v="THORChain"/>
        <s v="Seeker"/>
        <s v="Stargate Finance"/>
        <s v="Vaulta"/>
        <s v="1inch"/>
        <s v="MultiversX"/>
        <s v="SafePal"/>
        <s v="Amp"/>
        <s v="Walrus"/>
        <s v="Berachain"/>
        <s v="EigenCloud"/>
        <s v="Arweave"/>
        <s v="Livepeer"/>
        <s v="Official Melania Meme"/>
        <s v="Sonic"/>
        <s v="Beam"/>
        <s v="Irys"/>
        <s v="Kamino"/>
        <s v="DeepBook Protocol"/>
        <s v="0G"/>
        <s v="Open Campus"/>
        <s v="FTX Token"/>
        <s v="yearn.finance"/>
        <s v="Theta Fuel"/>
        <s v="Jito"/>
        <s v="Meteora"/>
        <s v="YZY MONEY"/>
        <s v="Horizen"/>
        <s v="CoW Protocol"/>
        <s v="Gas"/>
        <s v="Wormhole"/>
        <s v="币安人生"/>
        <s v="Dog (Bitcoin)"/>
        <s v="Oasis"/>
        <s v="Synthetix"/>
        <s v="Qtum"/>
        <s v="Reserve Rights"/>
        <s v="Verge"/>
        <s v="Defi App"/>
        <s v="ZORA"/>
        <s v="ApeCoin"/>
      </sharedItems>
    </cacheField>
    <cacheField name="Price" numFmtId="0">
      <sharedItems containsSemiMixedTypes="0" containsString="0" containsNumber="1" minValue="3.1108117322919438E-7" maxValue="66499.268564841186"/>
    </cacheField>
    <cacheField name="1h" numFmtId="0">
      <sharedItems containsSemiMixedTypes="0" containsString="0" containsNumber="1" minValue="-4.7164908199999998" maxValue="2.1546008400000001"/>
    </cacheField>
    <cacheField name="24h" numFmtId="0">
      <sharedItems containsSemiMixedTypes="0" containsString="0" containsNumber="1" minValue="-18.737242169999998" maxValue="24.37316195"/>
    </cacheField>
    <cacheField name="7d" numFmtId="0">
      <sharedItems containsSemiMixedTypes="0" containsString="0" containsNumber="1" minValue="-35.457916640000001" maxValue="150.40996651"/>
    </cacheField>
    <cacheField name="Price_1h_Ago" numFmtId="0">
      <sharedItems containsSemiMixedTypes="0" containsString="0" containsNumber="1" minValue="3.1152597106987628E-7" maxValue="66800.406970477328"/>
    </cacheField>
    <cacheField name="Price_24h_Ago" numFmtId="0">
      <sharedItems containsSemiMixedTypes="0" containsString="0" containsNumber="1" minValue="3.0619617792073654E-7" maxValue="64208.558875300405"/>
    </cacheField>
    <cacheField name="Price_7d_Ago" numFmtId="0">
      <sharedItems containsSemiMixedTypes="0" containsString="0" containsNumber="1" minValue="3.3801247771006172E-7" maxValue="76189.345619899206"/>
    </cacheField>
    <cacheField name="Price_Range" numFmtId="0">
      <sharedItems count="4">
        <s v="Above 5 USD"/>
        <s v="0-5 USD"/>
        <s v="No" u="1"/>
        <s v="Yes" u="1"/>
      </sharedItems>
    </cacheField>
    <cacheField name="Price_range2" numFmtId="0">
      <sharedItems count="5">
        <s v="&gt; 50"/>
        <s v="0.5 - 5"/>
        <s v="0.05 - 0.5"/>
        <s v="5 - 50"/>
        <s v="0 - 0.05"/>
      </sharedItems>
    </cacheField>
    <cacheField name="Avg_Downfall" numFmtId="0">
      <sharedItems containsSemiMixedTypes="0" containsString="0" containsNumber="1" minValue="-15.837252873333334" maxValue="56.688879213333337"/>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saveData="0" refreshedBy="KIIT" refreshedDate="46065.458481712965" backgroundQuery="1" createdVersion="5" refreshedVersion="5" minRefreshableVersion="3" recordCount="0" supportSubquery="1" supportAdvancedDrill="1">
  <cacheSource type="external" connectionId="2"/>
  <cacheFields count="4">
    <cacheField name="[CryptoTable].[coin name].[coin name]" caption="coin name" numFmtId="0" level="1">
      <sharedItems count="10">
        <s v="0G"/>
        <s v="dYdX"/>
        <s v="Fluid"/>
        <s v="Four"/>
        <s v="FTX Token"/>
        <s v="Maple Finance"/>
        <s v="Pi"/>
        <s v="Ripple USD"/>
        <s v="TrueUSD"/>
        <s v="USDD"/>
      </sharedItems>
    </cacheField>
    <cacheField name="[Measures].[Sum of price_change]" caption="Sum of price_change" numFmtId="0" hierarchy="16" level="32767"/>
    <cacheField name="[CryptoTable].[price_range].[price_range]" caption="price_range" numFmtId="0" hierarchy="13" level="1">
      <sharedItems containsSemiMixedTypes="0" containsNonDate="0" containsString="0"/>
    </cacheField>
    <cacheField name="[CryptoTable].[symbol].[symbol]" caption="symbol" numFmtId="0" hierarchy="1" level="1">
      <sharedItems count="10">
        <s v="0G"/>
        <s v="DYDX"/>
        <s v="FLUID"/>
        <s v="FORM"/>
        <s v="FTT"/>
        <s v="PI"/>
        <s v="RLUSD"/>
        <s v="SYRUP"/>
        <s v="TUSD"/>
        <s v="USDD"/>
      </sharedItems>
    </cacheField>
  </cacheFields>
  <cacheHierarchies count="22">
    <cacheHierarchy uniqueName="[CryptoTable].[coin name]" caption="coin name" attribute="1" defaultMemberUniqueName="[CryptoTable].[coin name].[All]" allUniqueName="[CryptoTable].[coin name].[All]" dimensionUniqueName="[CryptoTable]" displayFolder="" count="2" memberValueDatatype="130" unbalanced="0">
      <fieldsUsage count="2">
        <fieldUsage x="-1"/>
        <fieldUsage x="0"/>
      </fieldsUsage>
    </cacheHierarchy>
    <cacheHierarchy uniqueName="[CryptoTable].[symbol]" caption="symbol" attribute="1" defaultMemberUniqueName="[CryptoTable].[symbol].[All]" allUniqueName="[CryptoTable].[symbol].[All]" dimensionUniqueName="[CryptoTable]" displayFolder="" count="2" memberValueDatatype="130" unbalanced="0">
      <fieldsUsage count="2">
        <fieldUsage x="-1"/>
        <fieldUsage x="3"/>
      </fieldsUsage>
    </cacheHierarchy>
    <cacheHierarchy uniqueName="[CryptoTable].[price_USD]" caption="price_USD" attribute="1" defaultMemberUniqueName="[CryptoTable].[price_USD].[All]" allUniqueName="[CryptoTable].[price_USD].[All]" dimensionUniqueName="[CryptoTable]" displayFolder="" count="0" memberValueDatatype="5" unbalanced="0"/>
    <cacheHierarchy uniqueName="[CryptoTable].[1h change (%)]" caption="1h change (%)" attribute="1" defaultMemberUniqueName="[CryptoTable].[1h change (%)].[All]" allUniqueName="[CryptoTable].[1h change (%)].[All]" dimensionUniqueName="[CryptoTable]" displayFolder="" count="0" memberValueDatatype="5" unbalanced="0"/>
    <cacheHierarchy uniqueName="[CryptoTable].[24h change (%)]" caption="24h change (%)" attribute="1" defaultMemberUniqueName="[CryptoTable].[24h change (%)].[All]" allUniqueName="[CryptoTable].[24h change (%)].[All]" dimensionUniqueName="[CryptoTable]" displayFolder="" count="0" memberValueDatatype="5" unbalanced="0"/>
    <cacheHierarchy uniqueName="[CryptoTable].[market_cap]" caption="market_cap" attribute="1" defaultMemberUniqueName="[CryptoTable].[market_cap].[All]" allUniqueName="[CryptoTable].[market_cap].[All]" dimensionUniqueName="[CryptoTable]" displayFolder="" count="0" memberValueDatatype="5" unbalanced="0"/>
    <cacheHierarchy uniqueName="[CryptoTable].[volume_24h]" caption="volume_24h" attribute="1" defaultMemberUniqueName="[CryptoTable].[volume_24h].[All]" allUniqueName="[CryptoTable].[volume_24h].[All]" dimensionUniqueName="[CryptoTable]" displayFolder="" count="0" memberValueDatatype="5" unbalanced="0"/>
    <cacheHierarchy uniqueName="[CryptoTable].[circulating_supply]" caption="circulating_supply" attribute="1" defaultMemberUniqueName="[CryptoTable].[circulating_supply].[All]" allUniqueName="[CryptoTable].[circulating_supply].[All]" dimensionUniqueName="[CryptoTable]" displayFolder="" count="0" memberValueDatatype="5" unbalanced="0"/>
    <cacheHierarchy uniqueName="[CryptoTable].[Dollar Volume Per Supply]" caption="Dollar Volume Per Supply" attribute="1" defaultMemberUniqueName="[CryptoTable].[Dollar Volume Per Supply].[All]" allUniqueName="[CryptoTable].[Dollar Volume Per Supply].[All]" dimensionUniqueName="[CryptoTable]" displayFolder="" count="0" memberValueDatatype="5" unbalanced="0"/>
    <cacheHierarchy uniqueName="[CryptoTable].[Rank]" caption="Rank" attribute="1" defaultMemberUniqueName="[CryptoTable].[Rank].[All]" allUniqueName="[CryptoTable].[Rank].[All]" dimensionUniqueName="[CryptoTable]" displayFolder="" count="0" memberValueDatatype="20" unbalanced="0"/>
    <cacheHierarchy uniqueName="[CryptoTable].[Price Range]" caption="Price Range" attribute="1" defaultMemberUniqueName="[CryptoTable].[Price Range].[All]" allUniqueName="[CryptoTable].[Price Range].[All]" dimensionUniqueName="[CryptoTable]" displayFolder="" count="0" memberValueDatatype="130" unbalanced="0"/>
    <cacheHierarchy uniqueName="[CryptoTable].[Previous_Price]" caption="Previous_Price" attribute="1" defaultMemberUniqueName="[CryptoTable].[Previous_Price].[All]" allUniqueName="[CryptoTable].[Previous_Price].[All]" dimensionUniqueName="[CryptoTable]" displayFolder="" count="0" memberValueDatatype="5" unbalanced="0"/>
    <cacheHierarchy uniqueName="[CryptoTable].[price_change]" caption="price_change" attribute="1" defaultMemberUniqueName="[CryptoTable].[price_change].[All]" allUniqueName="[CryptoTable].[price_change].[All]" dimensionUniqueName="[CryptoTable]" displayFolder="" count="0" memberValueDatatype="5" unbalanced="0"/>
    <cacheHierarchy uniqueName="[CryptoTable].[price_range]" caption="price_range" attribute="1" defaultMemberUniqueName="[CryptoTable].[price_range].[All]" allUniqueName="[CryptoTable].[price_range].[All]" dimensionUniqueName="[CryptoTable]" displayFolder="" count="2" memberValueDatatype="130" unbalanced="0">
      <fieldsUsage count="2">
        <fieldUsage x="-1"/>
        <fieldUsage x="2"/>
      </fieldsUsage>
    </cacheHierarchy>
    <cacheHierarchy uniqueName="[CryptoTable].[Price_Category]" caption="Price_Category" attribute="1" defaultMemberUniqueName="[CryptoTable].[Price_Category].[All]" allUniqueName="[CryptoTable].[Price_Category].[All]" dimensionUniqueName="[CryptoTable]" displayFolder="" count="0" memberValueDatatype="130" unbalanced="0"/>
    <cacheHierarchy uniqueName="[CryptoTable].[top5_others]" caption="top5_others" attribute="1" defaultMemberUniqueName="[CryptoTable].[top5_others].[All]" allUniqueName="[CryptoTable].[top5_others].[All]" dimensionUniqueName="[CryptoTable]" displayFolder="" count="0" memberValueDatatype="130" unbalanced="0"/>
    <cacheHierarchy uniqueName="[Measures].[Sum of price_change]" caption="Sum of price_change" measure="1" displayFolder="" measureGroup="CryptoTable" count="0" oneField="1">
      <fieldsUsage count="1">
        <fieldUsage x="1"/>
      </fieldsUsage>
      <extLst>
        <ext xmlns:x15="http://schemas.microsoft.com/office/spreadsheetml/2010/11/main" uri="{B97F6D7D-B522-45F9-BDA1-12C45D357490}">
          <x15:cacheHierarchy aggregatedColumn="12"/>
        </ext>
      </extLst>
    </cacheHierarchy>
    <cacheHierarchy uniqueName="[Measures].[Sum of price_USD]" caption="Sum of price_USD" measure="1" displayFolder="" measureGroup="CryptoTable" count="0">
      <extLst>
        <ext xmlns:x15="http://schemas.microsoft.com/office/spreadsheetml/2010/11/main" uri="{B97F6D7D-B522-45F9-BDA1-12C45D357490}">
          <x15:cacheHierarchy aggregatedColumn="2"/>
        </ext>
      </extLst>
    </cacheHierarchy>
    <cacheHierarchy uniqueName="[Measures].[Sum of Previous_Price]" caption="Sum of Previous_Price" measure="1" displayFolder="" measureGroup="CryptoTable" count="0">
      <extLst>
        <ext xmlns:x15="http://schemas.microsoft.com/office/spreadsheetml/2010/11/main" uri="{B97F6D7D-B522-45F9-BDA1-12C45D357490}">
          <x15:cacheHierarchy aggregatedColumn="11"/>
        </ext>
      </extLst>
    </cacheHierarchy>
    <cacheHierarchy uniqueName="[Measures].[Sum of volume_24h]" caption="Sum of volume_24h" measure="1" displayFolder="" measureGroup="CryptoTable" count="0">
      <extLst>
        <ext xmlns:x15="http://schemas.microsoft.com/office/spreadsheetml/2010/11/main" uri="{B97F6D7D-B522-45F9-BDA1-12C45D357490}">
          <x15:cacheHierarchy aggregatedColumn="6"/>
        </ext>
      </extLst>
    </cacheHierarchy>
    <cacheHierarchy uniqueName="[Measures].[__XL_Count CryptoTable]" caption="__XL_Count CryptoTable" measure="1" displayFolder="" measureGroup="CryptoTable" count="0" hidden="1"/>
    <cacheHierarchy uniqueName="[Measures].[__XL_Count of Models]" caption="__XL_Count of Models" measure="1" displayFolder="" count="0" hidden="1"/>
  </cacheHierarchies>
  <kpis count="0"/>
  <dimensions count="2">
    <dimension name="CryptoTable" uniqueName="[CryptoTable]" caption="CryptoTable"/>
    <dimension measure="1" name="Measures" uniqueName="[Measures]" caption="Measures"/>
  </dimensions>
  <measureGroups count="1">
    <measureGroup name="CryptoTable" caption="Crypto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r:id="rId1" refreshedBy="KIIT" refreshedDate="46065.557706944448" createdVersion="5" refreshedVersion="5" minRefreshableVersion="3" recordCount="200">
  <cacheSource type="worksheet">
    <worksheetSource name="CryptoTable"/>
  </cacheSource>
  <cacheFields count="19">
    <cacheField name="coin name" numFmtId="0">
      <sharedItems count="200">
        <s v="Bitcoin"/>
        <s v="Ethereum"/>
        <s v="Tether USDt"/>
        <s v="BNB"/>
        <s v="XRP"/>
        <s v="USDC"/>
        <s v="Solana"/>
        <s v="TRON"/>
        <s v="Dogecoin"/>
        <s v="Cardano"/>
        <s v="Bitcoin Cash"/>
        <s v="Hyperliquid"/>
        <s v="UNUS SED LEO"/>
        <s v="Monero"/>
        <s v="Chainlink"/>
        <s v="Ethena USDe"/>
        <s v="Canton"/>
        <s v="Stellar"/>
        <s v="Zcash"/>
        <s v="Dai"/>
        <s v="World Liberty Financial USD"/>
        <s v="Litecoin"/>
        <s v="Sui"/>
        <s v="Avalanche"/>
        <s v="Shiba Inu"/>
        <s v="Hedera"/>
        <s v="World Liberty Financial"/>
        <s v="PayPal USD"/>
        <s v="Toncoin"/>
        <s v="Cronos"/>
        <s v="Polkadot"/>
        <s v="Uniswap"/>
        <s v="Mantle"/>
        <s v="Tether Gold"/>
        <s v="Bitget Token"/>
        <s v="Bittensor"/>
        <s v="PAX Gold"/>
        <s v="Aave"/>
        <s v="OKB"/>
        <s v="MemeCore"/>
        <s v="Pepe"/>
        <s v="NEAR Protocol"/>
        <s v="Internet Computer"/>
        <s v="Ethereum Classic"/>
        <s v="Global Dollar"/>
        <s v="Aster"/>
        <s v="Ondo"/>
        <s v="Sky"/>
        <s v="Pi"/>
        <s v="MYX Finance"/>
        <s v="Ripple USD"/>
        <s v="KuCoin Token"/>
        <s v="Worldcoin"/>
        <s v="Ethena"/>
        <s v="Polygon (prev. MATIC)"/>
        <s v="USDD"/>
        <s v="Aptos"/>
        <s v="GateToken"/>
        <s v="Kaspa"/>
        <s v="Cosmos"/>
        <s v="Algorand"/>
        <s v="Pump.fun"/>
        <s v="OFFICIAL TRUMP"/>
        <s v="Arbitrum"/>
        <s v="Midnight"/>
        <s v="Render"/>
        <s v="Filecoin"/>
        <s v="Quant"/>
        <s v="Flare"/>
        <s v="VeChain"/>
        <s v="River"/>
        <s v="United Stables"/>
        <s v="XDC Network"/>
        <s v="Bonk"/>
        <s v="Dash"/>
        <s v="Story"/>
        <s v="Sei"/>
        <s v="Jupiter"/>
        <s v="LayerZero"/>
        <s v="Nexo"/>
        <s v="PancakeSwap"/>
        <s v="Pudgy Penguins"/>
        <s v="Tezos"/>
        <s v="Optimism"/>
        <s v="Stacks"/>
        <s v="Chiliz"/>
        <s v="TrueUSD"/>
        <s v="Virtuals Protocol"/>
        <s v="Artificial Superintelligence Alliance"/>
        <s v="Curve DAO Token"/>
        <s v="First Digital USD"/>
        <s v="Morpho"/>
        <s v="Stable"/>
        <s v="DoubleZero"/>
        <s v="EURC"/>
        <s v="Immutable"/>
        <s v="Injective"/>
        <s v="Lighter"/>
        <s v="Lido DAO"/>
        <s v="Maple Finance"/>
        <s v="JUST"/>
        <s v="Aerodrome Finance"/>
        <s v="BitTorrent [New]"/>
        <s v="ether.fi"/>
        <s v="Sun [New]"/>
        <s v="FLOKI"/>
        <s v="Axie Infinity"/>
        <s v="Kaia"/>
        <s v="The Graph"/>
        <s v="Trust Wallet Token"/>
        <s v="Celestia"/>
        <s v="AINFT"/>
        <s v="Gnosis"/>
        <s v="IOTA"/>
        <s v="Pyth Network"/>
        <s v="Humanity Protocol"/>
        <s v="Bitcoin SV"/>
        <s v="Starknet"/>
        <s v="Conflux"/>
        <s v="JasmyCoin"/>
        <s v="Ethereum Name Service"/>
        <s v="Telcoin"/>
        <s v="The Sandbox"/>
        <s v="SPX6900"/>
        <s v="Decred"/>
        <s v="Pendle"/>
        <s v="dogwifhat"/>
        <s v="AB"/>
        <s v="Sentient"/>
        <s v="pippin"/>
        <s v="Zebec Network"/>
        <s v="Gala"/>
        <s v="Fartcoin"/>
        <s v="Decentraland"/>
        <s v="DeXe"/>
        <s v="Raydium"/>
        <s v="Kite"/>
        <s v="Theta Network"/>
        <s v="Onyxcoin"/>
        <s v="Neo"/>
        <s v="Monad"/>
        <s v="Basic Attention Token"/>
        <s v="Compound"/>
        <s v="Golem"/>
        <s v="Plasma"/>
        <s v="ZKsync"/>
        <s v="Fluid"/>
        <s v="Falcon Finance"/>
        <s v="Convex Finance"/>
        <s v="Terra Classic"/>
        <s v="eCash"/>
        <s v="BUILDon"/>
        <s v="Arweave"/>
        <s v="Helium"/>
        <s v="0G"/>
        <s v="THORChain"/>
        <s v="Vision"/>
        <s v="MX Token"/>
        <s v="OriginTrail"/>
        <s v="Sonic"/>
        <s v="EigenCloud"/>
        <s v="Lombard"/>
        <s v="SafePal"/>
        <s v="Oasis"/>
        <s v="Walrus"/>
        <s v="å¸å®‰äººç”Ÿ"/>
        <s v="Cheems (cheems.pet)"/>
        <s v="Vaulta"/>
        <s v="WEMIX"/>
        <s v="1inch"/>
        <s v="DeepBook Protocol"/>
        <s v="MultiversX"/>
        <s v="Amp"/>
        <s v="Jito"/>
        <s v="Livepeer"/>
        <s v="Kamino"/>
        <s v="Fogo"/>
        <s v="Horizen"/>
        <s v="Beam"/>
        <s v="Wormhole"/>
        <s v="Aethir"/>
        <s v="Synthetix"/>
        <s v="Reserve Rights"/>
        <s v="FTX Token"/>
        <s v="Official Melania Meme"/>
        <s v="Meteora"/>
        <s v="dYdX"/>
        <s v="ApeCoin"/>
        <s v="Open Campus"/>
        <s v="Qtum"/>
        <s v="Akash Network"/>
        <s v="ZORA"/>
        <s v="Theta Fuel"/>
        <s v="Gas"/>
        <s v="Brett (Based)"/>
        <s v="Stargate Finance"/>
        <s v="Four"/>
        <s v="yearn.finance"/>
        <s v="Kusama"/>
        <s v="Creditcoin"/>
      </sharedItems>
    </cacheField>
    <cacheField name="symbol" numFmtId="0">
      <sharedItems count="200">
        <s v="BTC"/>
        <s v="ETH"/>
        <s v="USDT"/>
        <s v="BNB"/>
        <s v="XRP"/>
        <s v="USDC"/>
        <s v="SOL"/>
        <s v="TRX"/>
        <s v="DOGE"/>
        <s v="ADA"/>
        <s v="BCH"/>
        <s v="HYPE"/>
        <s v="LEO"/>
        <s v="XMR"/>
        <s v="LINK"/>
        <s v="USDe"/>
        <s v="CC"/>
        <s v="XLM"/>
        <s v="ZEC"/>
        <s v="DAI"/>
        <s v="USD1"/>
        <s v="LTC"/>
        <s v="SUI"/>
        <s v="AVAX"/>
        <s v="SHIB"/>
        <s v="HBAR"/>
        <s v="WLFI"/>
        <s v="PYUSD"/>
        <s v="TON"/>
        <s v="CRO"/>
        <s v="DOT"/>
        <s v="UNI"/>
        <s v="MNT"/>
        <s v="XAUt"/>
        <s v="BGB"/>
        <s v="TAO"/>
        <s v="PAXG"/>
        <s v="AAVE"/>
        <s v="OKB"/>
        <s v="M"/>
        <s v="PEPE"/>
        <s v="NEAR"/>
        <s v="ICP"/>
        <s v="ETC"/>
        <s v="USDG"/>
        <s v="ASTER"/>
        <s v="ONDO"/>
        <s v="SKY"/>
        <s v="PI"/>
        <s v="MYX"/>
        <s v="RLUSD"/>
        <s v="KCS"/>
        <s v="WLD"/>
        <s v="ENA"/>
        <s v="POL"/>
        <s v="USDD"/>
        <s v="APT"/>
        <s v="GT"/>
        <s v="KAS"/>
        <s v="ATOM"/>
        <s v="ALGO"/>
        <s v="PUMP"/>
        <s v="TRUMP"/>
        <s v="ARB"/>
        <s v="NIGHT"/>
        <s v="RENDER"/>
        <s v="FIL"/>
        <s v="QNT"/>
        <s v="FLR"/>
        <s v="VET"/>
        <s v="RIVER"/>
        <s v="U"/>
        <s v="XDC"/>
        <s v="BONK"/>
        <s v="DASH"/>
        <s v="IP"/>
        <s v="SEI"/>
        <s v="JUP"/>
        <s v="ZRO"/>
        <s v="NEXO"/>
        <s v="CAKE"/>
        <s v="PENGU"/>
        <s v="XTZ"/>
        <s v="OP"/>
        <s v="STX"/>
        <s v="CHZ"/>
        <s v="TUSD"/>
        <s v="VIRTUAL"/>
        <s v="FET"/>
        <s v="CRV"/>
        <s v="FDUSD"/>
        <s v="MORPHO"/>
        <s v="STABLE"/>
        <s v="2Z"/>
        <s v="EURC"/>
        <s v="IMX"/>
        <s v="INJ"/>
        <s v="LIT"/>
        <s v="LDO"/>
        <s v="SYRUP"/>
        <s v="JST"/>
        <s v="AERO"/>
        <s v="BTT"/>
        <s v="ETHFI"/>
        <s v="SUN"/>
        <s v="FLOKI"/>
        <s v="AXS"/>
        <s v="KAIA"/>
        <s v="GRT"/>
        <s v="TWT"/>
        <s v="TIA"/>
        <s v="NFT"/>
        <s v="GNO"/>
        <s v="IOTA"/>
        <s v="PYTH"/>
        <s v="H"/>
        <s v="BSV"/>
        <s v="STRK"/>
        <s v="CFX"/>
        <s v="JASMY"/>
        <s v="ENS"/>
        <s v="TEL"/>
        <s v="SAND"/>
        <s v="SPX"/>
        <s v="DCR"/>
        <s v="PENDLE"/>
        <s v="WIF"/>
        <s v="AB"/>
        <s v="SENT"/>
        <s v="PIPPIN"/>
        <s v="ZBCN"/>
        <s v="GALA"/>
        <s v="FARTCOIN"/>
        <s v="MANA"/>
        <s v="DEXE"/>
        <s v="RAY"/>
        <s v="KITE"/>
        <s v="THETA"/>
        <s v="XCN"/>
        <s v="NEO"/>
        <s v="MON"/>
        <s v="BAT"/>
        <s v="COMP"/>
        <s v="GLM"/>
        <s v="XPL"/>
        <s v="ZK"/>
        <s v="FLUID"/>
        <s v="FF"/>
        <s v="CVX"/>
        <s v="LUNC"/>
        <s v="XEC"/>
        <s v="B"/>
        <s v="AR"/>
        <s v="HNT"/>
        <s v="0G"/>
        <s v="RUNE"/>
        <s v="VSN"/>
        <s v="MX"/>
        <s v="TRAC"/>
        <s v="S"/>
        <s v="EIGEN"/>
        <s v="BARD"/>
        <s v="SFP"/>
        <s v="ROSE"/>
        <s v="WAL"/>
        <s v="å¸å®‰äººç”Ÿ"/>
        <s v="CHEEMS"/>
        <s v="A"/>
        <s v="WEMIX"/>
        <s v="1INCH"/>
        <s v="DEEP"/>
        <s v="EGLD"/>
        <s v="AMP"/>
        <s v="JTO"/>
        <s v="LPT"/>
        <s v="KMNO"/>
        <s v="FOGO"/>
        <s v="ZEN"/>
        <s v="BEAM"/>
        <s v="W"/>
        <s v="ATH"/>
        <s v="SNX"/>
        <s v="RSR"/>
        <s v="FTT"/>
        <s v="MELANIA"/>
        <s v="MET"/>
        <s v="DYDX"/>
        <s v="APE"/>
        <s v="EDU"/>
        <s v="QTUM"/>
        <s v="AKT"/>
        <s v="ZORA"/>
        <s v="TFUEL"/>
        <s v="GAS"/>
        <s v="BRETT"/>
        <s v="STG"/>
        <s v="FORM"/>
        <s v="YFI"/>
        <s v="KSM"/>
        <s v="CTC"/>
      </sharedItems>
    </cacheField>
    <cacheField name="price_USD" numFmtId="0">
      <sharedItems containsSemiMixedTypes="0" containsString="0" containsNumber="1" minValue="3.4838122629557887E-7" maxValue="82567.315574975291"/>
    </cacheField>
    <cacheField name="1h change (%)" numFmtId="0">
      <sharedItems containsSemiMixedTypes="0" containsString="0" containsNumber="1" minValue="-12.625485019999999" maxValue="0.59780763000000003"/>
    </cacheField>
    <cacheField name="24h change (%)" numFmtId="0">
      <sharedItems containsSemiMixedTypes="0" containsString="0" containsNumber="1" minValue="-33.144207989999998" maxValue="29.889913870000001"/>
    </cacheField>
    <cacheField name="market_cap" numFmtId="0">
      <sharedItems containsSemiMixedTypes="0" containsString="0" containsNumber="1" minValue="107063390.73542643" maxValue="1649877108686.1648"/>
    </cacheField>
    <cacheField name="volume_24h" numFmtId="0">
      <sharedItems containsSemiMixedTypes="0" containsString="0" containsNumber="1" minValue="872988.87101453997" maxValue="146962642926.80096"/>
    </cacheField>
    <cacheField name="circulating_supply" numFmtId="0">
      <sharedItems containsSemiMixedTypes="0" containsString="0" containsNumber="1" minValue="35091.989930939999" maxValue="999990000000000"/>
    </cacheField>
    <cacheField name="Dollar Volume Per Supply" numFmtId="0">
      <sharedItems containsSemiMixedTypes="0" containsString="0" containsNumber="1" minValue="1.4774435783619966E-8" maxValue="4205.9368904210787"/>
    </cacheField>
    <cacheField name="Rank" numFmtId="0">
      <sharedItems containsSemiMixedTypes="0" containsString="0" containsNumber="1" containsInteger="1" minValue="1" maxValue="200"/>
    </cacheField>
    <cacheField name="Price Range" numFmtId="0">
      <sharedItems count="7">
        <s v="10000+"/>
        <s v="100-10000"/>
        <s v="0.5-1"/>
        <s v="1-2"/>
        <s v="0-0.5"/>
        <s v="10-100"/>
        <s v="2-10"/>
      </sharedItems>
    </cacheField>
    <cacheField name="Previous_Price" numFmtId="0">
      <sharedItems containsSemiMixedTypes="0" containsString="0" containsNumber="1" minValue="3.4950430956862557E-7" maxValue="82660.335068555316"/>
    </cacheField>
    <cacheField name="price_change" numFmtId="0">
      <sharedItems containsSemiMixedTypes="0" containsString="0" containsNumber="1" minValue="-93.019493580024573" maxValue="8.6235012462521077E-3"/>
    </cacheField>
    <cacheField name="price_range" numFmtId="0">
      <sharedItems/>
    </cacheField>
    <cacheField name="Price_Category" numFmtId="0">
      <sharedItems/>
    </cacheField>
    <cacheField name="top5_others" numFmtId="0">
      <sharedItems/>
    </cacheField>
    <cacheField name="Valid_coin" numFmtId="0">
      <sharedItems count="2">
        <s v="Yes"/>
        <s v="No"/>
      </sharedItems>
    </cacheField>
    <cacheField name="Price_Range2" numFmtId="0">
      <sharedItems/>
    </cacheField>
    <cacheField name="Avg_Downfall" numFmtId="0">
      <sharedItems containsSemiMixedTypes="0" containsString="0" containsNumber="1" minValue="36546162.15133246" maxValue="333330116125914.06"/>
    </cacheField>
  </cacheFields>
  <extLst>
    <ext xmlns:x14="http://schemas.microsoft.com/office/spreadsheetml/2009/9/main" uri="{725AE2AE-9491-48be-B2B4-4EB974FC3084}">
      <x14:pivotCacheDefinition pivotCacheId="1"/>
    </ext>
  </extLst>
</pivotCacheDefinition>
</file>

<file path=xl/pivotCache/pivotCacheDefinition8.xml><?xml version="1.0" encoding="utf-8"?>
<pivotCacheDefinition xmlns="http://schemas.openxmlformats.org/spreadsheetml/2006/main" xmlns:r="http://schemas.openxmlformats.org/officeDocument/2006/relationships" saveData="0" refreshedBy="KIIT" refreshedDate="46065.443609259259" backgroundQuery="1"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22">
    <cacheHierarchy uniqueName="[CryptoTable].[coin name]" caption="coin name" attribute="1" defaultMemberUniqueName="[CryptoTable].[coin name].[All]" allUniqueName="[CryptoTable].[coin name].[All]" dimensionUniqueName="[CryptoTable]" displayFolder="" count="0" memberValueDatatype="130" unbalanced="0"/>
    <cacheHierarchy uniqueName="[CryptoTable].[symbol]" caption="symbol" attribute="1" defaultMemberUniqueName="[CryptoTable].[symbol].[All]" allUniqueName="[CryptoTable].[symbol].[All]" dimensionUniqueName="[CryptoTable]" displayFolder="" count="0" memberValueDatatype="130" unbalanced="0"/>
    <cacheHierarchy uniqueName="[CryptoTable].[price_USD]" caption="price_USD" attribute="1" defaultMemberUniqueName="[CryptoTable].[price_USD].[All]" allUniqueName="[CryptoTable].[price_USD].[All]" dimensionUniqueName="[CryptoTable]" displayFolder="" count="0" memberValueDatatype="5" unbalanced="0"/>
    <cacheHierarchy uniqueName="[CryptoTable].[1h change (%)]" caption="1h change (%)" attribute="1" defaultMemberUniqueName="[CryptoTable].[1h change (%)].[All]" allUniqueName="[CryptoTable].[1h change (%)].[All]" dimensionUniqueName="[CryptoTable]" displayFolder="" count="0" memberValueDatatype="5" unbalanced="0"/>
    <cacheHierarchy uniqueName="[CryptoTable].[24h change (%)]" caption="24h change (%)" attribute="1" defaultMemberUniqueName="[CryptoTable].[24h change (%)].[All]" allUniqueName="[CryptoTable].[24h change (%)].[All]" dimensionUniqueName="[CryptoTable]" displayFolder="" count="0" memberValueDatatype="5" unbalanced="0"/>
    <cacheHierarchy uniqueName="[CryptoTable].[market_cap]" caption="market_cap" attribute="1" defaultMemberUniqueName="[CryptoTable].[market_cap].[All]" allUniqueName="[CryptoTable].[market_cap].[All]" dimensionUniqueName="[CryptoTable]" displayFolder="" count="0" memberValueDatatype="5" unbalanced="0"/>
    <cacheHierarchy uniqueName="[CryptoTable].[volume_24h]" caption="volume_24h" attribute="1" defaultMemberUniqueName="[CryptoTable].[volume_24h].[All]" allUniqueName="[CryptoTable].[volume_24h].[All]" dimensionUniqueName="[CryptoTable]" displayFolder="" count="0" memberValueDatatype="5" unbalanced="0"/>
    <cacheHierarchy uniqueName="[CryptoTable].[circulating_supply]" caption="circulating_supply" attribute="1" defaultMemberUniqueName="[CryptoTable].[circulating_supply].[All]" allUniqueName="[CryptoTable].[circulating_supply].[All]" dimensionUniqueName="[CryptoTable]" displayFolder="" count="0" memberValueDatatype="5" unbalanced="0"/>
    <cacheHierarchy uniqueName="[CryptoTable].[Dollar Volume Per Supply]" caption="Dollar Volume Per Supply" attribute="1" defaultMemberUniqueName="[CryptoTable].[Dollar Volume Per Supply].[All]" allUniqueName="[CryptoTable].[Dollar Volume Per Supply].[All]" dimensionUniqueName="[CryptoTable]" displayFolder="" count="0" memberValueDatatype="5" unbalanced="0"/>
    <cacheHierarchy uniqueName="[CryptoTable].[Rank]" caption="Rank" attribute="1" defaultMemberUniqueName="[CryptoTable].[Rank].[All]" allUniqueName="[CryptoTable].[Rank].[All]" dimensionUniqueName="[CryptoTable]" displayFolder="" count="0" memberValueDatatype="20" unbalanced="0"/>
    <cacheHierarchy uniqueName="[CryptoTable].[Price Range]" caption="Price Range" attribute="1" defaultMemberUniqueName="[CryptoTable].[Price Range].[All]" allUniqueName="[CryptoTable].[Price Range].[All]" dimensionUniqueName="[CryptoTable]" displayFolder="" count="0" memberValueDatatype="130" unbalanced="0"/>
    <cacheHierarchy uniqueName="[CryptoTable].[Previous_Price]" caption="Previous_Price" attribute="1" defaultMemberUniqueName="[CryptoTable].[Previous_Price].[All]" allUniqueName="[CryptoTable].[Previous_Price].[All]" dimensionUniqueName="[CryptoTable]" displayFolder="" count="0" memberValueDatatype="5" unbalanced="0"/>
    <cacheHierarchy uniqueName="[CryptoTable].[price_change]" caption="price_change" attribute="1" defaultMemberUniqueName="[CryptoTable].[price_change].[All]" allUniqueName="[CryptoTable].[price_change].[All]" dimensionUniqueName="[CryptoTable]" displayFolder="" count="0" memberValueDatatype="5" unbalanced="0"/>
    <cacheHierarchy uniqueName="[CryptoTable].[price_range]" caption="price_range" attribute="1" defaultMemberUniqueName="[CryptoTable].[price_range].[All]" allUniqueName="[CryptoTable].[price_range].[All]" dimensionUniqueName="[CryptoTable]" displayFolder="" count="0" memberValueDatatype="130" unbalanced="0"/>
    <cacheHierarchy uniqueName="[CryptoTable].[Price_Category]" caption="Price_Category" attribute="1" defaultMemberUniqueName="[CryptoTable].[Price_Category].[All]" allUniqueName="[CryptoTable].[Price_Category].[All]" dimensionUniqueName="[CryptoTable]" displayFolder="" count="2" memberValueDatatype="130" unbalanced="0"/>
    <cacheHierarchy uniqueName="[CryptoTable].[top5_others]" caption="top5_others" attribute="1" defaultMemberUniqueName="[CryptoTable].[top5_others].[All]" allUniqueName="[CryptoTable].[top5_others].[All]" dimensionUniqueName="[CryptoTable]" displayFolder="" count="0" memberValueDatatype="130" unbalanced="0"/>
    <cacheHierarchy uniqueName="[Measures].[Sum of price_change]" caption="Sum of price_change" measure="1" displayFolder="" measureGroup="CryptoTable" count="0">
      <extLst>
        <ext xmlns:x15="http://schemas.microsoft.com/office/spreadsheetml/2010/11/main" uri="{B97F6D7D-B522-45F9-BDA1-12C45D357490}">
          <x15:cacheHierarchy aggregatedColumn="12"/>
        </ext>
      </extLst>
    </cacheHierarchy>
    <cacheHierarchy uniqueName="[Measures].[Sum of price_USD]" caption="Sum of price_USD" measure="1" displayFolder="" measureGroup="CryptoTable" count="0">
      <extLst>
        <ext xmlns:x15="http://schemas.microsoft.com/office/spreadsheetml/2010/11/main" uri="{B97F6D7D-B522-45F9-BDA1-12C45D357490}">
          <x15:cacheHierarchy aggregatedColumn="2"/>
        </ext>
      </extLst>
    </cacheHierarchy>
    <cacheHierarchy uniqueName="[Measures].[Sum of Previous_Price]" caption="Sum of Previous_Price" measure="1" displayFolder="" measureGroup="CryptoTable" count="0">
      <extLst>
        <ext xmlns:x15="http://schemas.microsoft.com/office/spreadsheetml/2010/11/main" uri="{B97F6D7D-B522-45F9-BDA1-12C45D357490}">
          <x15:cacheHierarchy aggregatedColumn="11"/>
        </ext>
      </extLst>
    </cacheHierarchy>
    <cacheHierarchy uniqueName="[Measures].[Sum of volume_24h]" caption="Sum of volume_24h" measure="1" displayFolder="" measureGroup="CryptoTable" count="0">
      <extLst>
        <ext xmlns:x15="http://schemas.microsoft.com/office/spreadsheetml/2010/11/main" uri="{B97F6D7D-B522-45F9-BDA1-12C45D357490}">
          <x15:cacheHierarchy aggregatedColumn="6"/>
        </ext>
      </extLst>
    </cacheHierarchy>
    <cacheHierarchy uniqueName="[Measures].[__XL_Count CryptoTable]" caption="__XL_Count CryptoTable" measure="1" displayFolder="" measureGroup="CryptoTable"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6"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KIIT" refreshedDate="46065.443613657408" backgroundQuery="1"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22">
    <cacheHierarchy uniqueName="[CryptoTable].[coin name]" caption="coin name" attribute="1" defaultMemberUniqueName="[CryptoTable].[coin name].[All]" allUniqueName="[CryptoTable].[coin name].[All]" dimensionUniqueName="[CryptoTable]" displayFolder="" count="0" memberValueDatatype="130" unbalanced="0"/>
    <cacheHierarchy uniqueName="[CryptoTable].[symbol]" caption="symbol" attribute="1" defaultMemberUniqueName="[CryptoTable].[symbol].[All]" allUniqueName="[CryptoTable].[symbol].[All]" dimensionUniqueName="[CryptoTable]" displayFolder="" count="0" memberValueDatatype="130" unbalanced="0"/>
    <cacheHierarchy uniqueName="[CryptoTable].[price_USD]" caption="price_USD" attribute="1" defaultMemberUniqueName="[CryptoTable].[price_USD].[All]" allUniqueName="[CryptoTable].[price_USD].[All]" dimensionUniqueName="[CryptoTable]" displayFolder="" count="0" memberValueDatatype="5" unbalanced="0"/>
    <cacheHierarchy uniqueName="[CryptoTable].[1h change (%)]" caption="1h change (%)" attribute="1" defaultMemberUniqueName="[CryptoTable].[1h change (%)].[All]" allUniqueName="[CryptoTable].[1h change (%)].[All]" dimensionUniqueName="[CryptoTable]" displayFolder="" count="0" memberValueDatatype="5" unbalanced="0"/>
    <cacheHierarchy uniqueName="[CryptoTable].[24h change (%)]" caption="24h change (%)" attribute="1" defaultMemberUniqueName="[CryptoTable].[24h change (%)].[All]" allUniqueName="[CryptoTable].[24h change (%)].[All]" dimensionUniqueName="[CryptoTable]" displayFolder="" count="0" memberValueDatatype="5" unbalanced="0"/>
    <cacheHierarchy uniqueName="[CryptoTable].[market_cap]" caption="market_cap" attribute="1" defaultMemberUniqueName="[CryptoTable].[market_cap].[All]" allUniqueName="[CryptoTable].[market_cap].[All]" dimensionUniqueName="[CryptoTable]" displayFolder="" count="0" memberValueDatatype="5" unbalanced="0"/>
    <cacheHierarchy uniqueName="[CryptoTable].[volume_24h]" caption="volume_24h" attribute="1" defaultMemberUniqueName="[CryptoTable].[volume_24h].[All]" allUniqueName="[CryptoTable].[volume_24h].[All]" dimensionUniqueName="[CryptoTable]" displayFolder="" count="0" memberValueDatatype="5" unbalanced="0"/>
    <cacheHierarchy uniqueName="[CryptoTable].[circulating_supply]" caption="circulating_supply" attribute="1" defaultMemberUniqueName="[CryptoTable].[circulating_supply].[All]" allUniqueName="[CryptoTable].[circulating_supply].[All]" dimensionUniqueName="[CryptoTable]" displayFolder="" count="0" memberValueDatatype="5" unbalanced="0"/>
    <cacheHierarchy uniqueName="[CryptoTable].[Dollar Volume Per Supply]" caption="Dollar Volume Per Supply" attribute="1" defaultMemberUniqueName="[CryptoTable].[Dollar Volume Per Supply].[All]" allUniqueName="[CryptoTable].[Dollar Volume Per Supply].[All]" dimensionUniqueName="[CryptoTable]" displayFolder="" count="0" memberValueDatatype="5" unbalanced="0"/>
    <cacheHierarchy uniqueName="[CryptoTable].[Rank]" caption="Rank" attribute="1" defaultMemberUniqueName="[CryptoTable].[Rank].[All]" allUniqueName="[CryptoTable].[Rank].[All]" dimensionUniqueName="[CryptoTable]" displayFolder="" count="0" memberValueDatatype="20" unbalanced="0"/>
    <cacheHierarchy uniqueName="[CryptoTable].[Price Range]" caption="Price Range" attribute="1" defaultMemberUniqueName="[CryptoTable].[Price Range].[All]" allUniqueName="[CryptoTable].[Price Range].[All]" dimensionUniqueName="[CryptoTable]" displayFolder="" count="0" memberValueDatatype="130" unbalanced="0"/>
    <cacheHierarchy uniqueName="[CryptoTable].[Previous_Price]" caption="Previous_Price" attribute="1" defaultMemberUniqueName="[CryptoTable].[Previous_Price].[All]" allUniqueName="[CryptoTable].[Previous_Price].[All]" dimensionUniqueName="[CryptoTable]" displayFolder="" count="0" memberValueDatatype="5" unbalanced="0"/>
    <cacheHierarchy uniqueName="[CryptoTable].[price_change]" caption="price_change" attribute="1" defaultMemberUniqueName="[CryptoTable].[price_change].[All]" allUniqueName="[CryptoTable].[price_change].[All]" dimensionUniqueName="[CryptoTable]" displayFolder="" count="0" memberValueDatatype="5" unbalanced="0"/>
    <cacheHierarchy uniqueName="[CryptoTable].[price_range]" caption="price_range" attribute="1" defaultMemberUniqueName="[CryptoTable].[price_range].[All]" allUniqueName="[CryptoTable].[price_range].[All]" dimensionUniqueName="[CryptoTable]" displayFolder="" count="2" memberValueDatatype="130" unbalanced="0"/>
    <cacheHierarchy uniqueName="[CryptoTable].[Price_Category]" caption="Price_Category" attribute="1" defaultMemberUniqueName="[CryptoTable].[Price_Category].[All]" allUniqueName="[CryptoTable].[Price_Category].[All]" dimensionUniqueName="[CryptoTable]" displayFolder="" count="0" memberValueDatatype="130" unbalanced="0"/>
    <cacheHierarchy uniqueName="[CryptoTable].[top5_others]" caption="top5_others" attribute="1" defaultMemberUniqueName="[CryptoTable].[top5_others].[All]" allUniqueName="[CryptoTable].[top5_others].[All]" dimensionUniqueName="[CryptoTable]" displayFolder="" count="0" memberValueDatatype="130" unbalanced="0"/>
    <cacheHierarchy uniqueName="[Measures].[Sum of price_change]" caption="Sum of price_change" measure="1" displayFolder="" measureGroup="CryptoTable" count="0">
      <extLst>
        <ext xmlns:x15="http://schemas.microsoft.com/office/spreadsheetml/2010/11/main" uri="{B97F6D7D-B522-45F9-BDA1-12C45D357490}">
          <x15:cacheHierarchy aggregatedColumn="12"/>
        </ext>
      </extLst>
    </cacheHierarchy>
    <cacheHierarchy uniqueName="[Measures].[Sum of price_USD]" caption="Sum of price_USD" measure="1" displayFolder="" measureGroup="CryptoTable" count="0">
      <extLst>
        <ext xmlns:x15="http://schemas.microsoft.com/office/spreadsheetml/2010/11/main" uri="{B97F6D7D-B522-45F9-BDA1-12C45D357490}">
          <x15:cacheHierarchy aggregatedColumn="2"/>
        </ext>
      </extLst>
    </cacheHierarchy>
    <cacheHierarchy uniqueName="[Measures].[Sum of Previous_Price]" caption="Sum of Previous_Price" measure="1" displayFolder="" measureGroup="CryptoTable" count="0">
      <extLst>
        <ext xmlns:x15="http://schemas.microsoft.com/office/spreadsheetml/2010/11/main" uri="{B97F6D7D-B522-45F9-BDA1-12C45D357490}">
          <x15:cacheHierarchy aggregatedColumn="11"/>
        </ext>
      </extLst>
    </cacheHierarchy>
    <cacheHierarchy uniqueName="[Measures].[Sum of volume_24h]" caption="Sum of volume_24h" measure="1" displayFolder="" measureGroup="CryptoTable" count="0">
      <extLst>
        <ext xmlns:x15="http://schemas.microsoft.com/office/spreadsheetml/2010/11/main" uri="{B97F6D7D-B522-45F9-BDA1-12C45D357490}">
          <x15:cacheHierarchy aggregatedColumn="6"/>
        </ext>
      </extLst>
    </cacheHierarchy>
    <cacheHierarchy uniqueName="[Measures].[__XL_Count CryptoTable]" caption="__XL_Count CryptoTable" measure="1" displayFolder="" measureGroup="CryptoTable"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200">
  <r>
    <x v="0"/>
    <n v="66499.268564841186"/>
    <n v="-0.45080324999999999"/>
    <n v="-3.5676080099999998"/>
    <n v="-12.718414859999999"/>
    <n v="66800.406970477328"/>
    <n v="64208.558875300405"/>
    <n v="76189.345619899206"/>
    <x v="0"/>
    <x v="0"/>
    <n v="-5.5789420400000003"/>
  </r>
  <r>
    <x v="1"/>
    <n v="1936.958182351729"/>
    <n v="-0.44383307999999999"/>
    <n v="-3.8927622300000002"/>
    <n v="-14.22134799"/>
    <n v="1945.5933693270892"/>
    <n v="1864.3822156385158"/>
    <n v="2258.0888565676223"/>
    <x v="0"/>
    <x v="0"/>
    <n v="-6.1859810999999993"/>
  </r>
  <r>
    <x v="2"/>
    <n v="0.9994086688466971"/>
    <n v="-2.12981E-2"/>
    <n v="1.5663529999999998E-2"/>
    <n v="9.7551769999999996E-2"/>
    <n v="0.99962156924813717"/>
    <n v="0.99956523604731495"/>
    <n v="0.99843467814587206"/>
    <x v="1"/>
    <x v="1"/>
    <n v="3.0639066666666662E-2"/>
  </r>
  <r>
    <x v="3"/>
    <n v="1.358570198793271"/>
    <n v="-7.5292209999999998E-2"/>
    <n v="-4.0349327500000003"/>
    <n v="-14.78158925"/>
    <n v="1.3595938670628072"/>
    <n v="1.3058788648020452"/>
    <n v="1.5942214679159232"/>
    <x v="1"/>
    <x v="1"/>
    <n v="-6.2972714033333332"/>
  </r>
  <r>
    <x v="4"/>
    <n v="587.92844764635618"/>
    <n v="-0.86331959000000003"/>
    <n v="-6.2486194599999996"/>
    <n v="-22.129676809999999"/>
    <n v="593.04835023208159"/>
    <n v="553.35161118747226"/>
    <n v="755.00964110786833"/>
    <x v="0"/>
    <x v="0"/>
    <n v="-9.7472052866666665"/>
  </r>
  <r>
    <x v="5"/>
    <n v="0.99986682137043115"/>
    <n v="-1.5459870000000001E-2"/>
    <n v="-1.706943E-2"/>
    <n v="2.6302140000000002E-2"/>
    <n v="1.0000214233824583"/>
    <n v="0.99969617893095586"/>
    <n v="0.99960390415211564"/>
    <x v="1"/>
    <x v="1"/>
    <n v="-2.0757199999999983E-3"/>
  </r>
  <r>
    <x v="6"/>
    <n v="80.504401936974631"/>
    <n v="-0.29090812999999999"/>
    <n v="-4.3990456199999999"/>
    <n v="-16.939665210000001"/>
    <n v="80.739279063874832"/>
    <n v="77.112201034864825"/>
    <n v="96.922799722048453"/>
    <x v="0"/>
    <x v="0"/>
    <n v="-7.2098729866666673"/>
  </r>
  <r>
    <x v="7"/>
    <n v="0.27397115070146361"/>
    <n v="-2.7737850000000001E-2"/>
    <n v="-0.85968621000000001"/>
    <n v="-4.5418117599999999"/>
    <n v="0.27404716549315733"/>
    <n v="0.27163593403515862"/>
    <n v="0.28700644308547751"/>
    <x v="1"/>
    <x v="2"/>
    <n v="-1.8097452733333332"/>
  </r>
  <r>
    <x v="8"/>
    <n v="8.9482960479119383E-2"/>
    <n v="-0.66481016999999998"/>
    <n v="-4.0522871399999998"/>
    <n v="-16.844826309999998"/>
    <n v="9.0081833670684577E-2"/>
    <n v="8.5998071679791219E-2"/>
    <n v="0.10760961285789526"/>
    <x v="1"/>
    <x v="2"/>
    <n v="-7.1873078733333324"/>
  </r>
  <r>
    <x v="9"/>
    <n v="508.82577622080339"/>
    <n v="-0.88126950000000004"/>
    <n v="-3.3397695700000001"/>
    <n v="-3.2125493199999999"/>
    <n v="513.34977118255506"/>
    <n v="492.38137295839084"/>
    <n v="525.71461759344209"/>
    <x v="0"/>
    <x v="0"/>
    <n v="-2.4778627966666664"/>
  </r>
  <r>
    <x v="10"/>
    <n v="0.25262911344086381"/>
    <n v="-0.49584078999999998"/>
    <n v="-4.17324597"/>
    <n v="-15.615207310000001"/>
    <n v="0.25388799367441417"/>
    <n v="0.24250863173987725"/>
    <n v="0.29937753638731351"/>
    <x v="1"/>
    <x v="2"/>
    <n v="-6.7614313566666668"/>
  </r>
  <r>
    <x v="11"/>
    <n v="8.3221882201059216"/>
    <n v="-5.774982E-2"/>
    <n v="-3.2042775699999999"/>
    <n v="-5.7955352199999997"/>
    <n v="8.3269970459113409"/>
    <n v="8.0638016330876034"/>
    <n v="8.8341760016800794"/>
    <x v="0"/>
    <x v="3"/>
    <n v="-3.0191875366666667"/>
  </r>
  <r>
    <x v="12"/>
    <n v="28.492017441869731"/>
    <n v="-0.25439679999999998"/>
    <n v="-3.7300885799999999"/>
    <n v="-14.067279409999999"/>
    <n v="28.564685086660273"/>
    <n v="27.467456966351445"/>
    <n v="33.15619154874674"/>
    <x v="0"/>
    <x v="3"/>
    <n v="-6.01725493"/>
  </r>
  <r>
    <x v="13"/>
    <n v="0.99888248765466681"/>
    <n v="3.15475E-3"/>
    <n v="4.5359940000000001E-2"/>
    <n v="6.92575E-2"/>
    <n v="0.99885097640348885"/>
    <n v="0.99933578576748949"/>
    <n v="0.99819116540828423"/>
    <x v="1"/>
    <x v="1"/>
    <n v="3.9257396666666666E-2"/>
  </r>
  <r>
    <x v="14"/>
    <n v="343.70485371646612"/>
    <n v="-0.60329538000000005"/>
    <n v="2.5758598899999998"/>
    <n v="-12.21718364"/>
    <n v="345.79099481262676"/>
    <n v="352.79228877811454"/>
    <n v="391.54001656420093"/>
    <x v="0"/>
    <x v="0"/>
    <n v="-3.4148730433333334"/>
  </r>
  <r>
    <x v="15"/>
    <n v="0.16257538326680859"/>
    <n v="-0.57196519999999995"/>
    <n v="-1.4029962499999999"/>
    <n v="-9.3277018700000003"/>
    <n v="0.16351060703737111"/>
    <n v="0.16032601528459134"/>
    <n v="0.17929994785586958"/>
    <x v="1"/>
    <x v="2"/>
    <n v="-3.7675544400000001"/>
  </r>
  <r>
    <x v="16"/>
    <n v="8.2032824864486074"/>
    <n v="-0.64938636999999999"/>
    <n v="-3.9270785799999999"/>
    <n v="-14.51618167"/>
    <n v="8.2569016805463775"/>
    <n v="7.8933061513260583"/>
    <n v="9.5962986290350543"/>
    <x v="0"/>
    <x v="3"/>
    <n v="-6.36421554"/>
  </r>
  <r>
    <x v="17"/>
    <n v="0.99963762149510416"/>
    <n v="1.888507E-2"/>
    <n v="9.7048999999999996E-4"/>
    <n v="-1.278983E-2"/>
    <n v="0.99944887487546963"/>
    <n v="0.99964732297240888"/>
    <n v="0.99976548980164848"/>
    <x v="1"/>
    <x v="1"/>
    <n v="2.3552433333333335E-3"/>
  </r>
  <r>
    <x v="18"/>
    <n v="0.9998513704589822"/>
    <n v="-9.50843E-3"/>
    <n v="1.1296469999999999E-2"/>
    <n v="4.1902410000000001E-2"/>
    <n v="0.99994644966718638"/>
    <n v="0.99996433112965899"/>
    <n v="0.99943258411991076"/>
    <x v="1"/>
    <x v="1"/>
    <n v="1.4563483333333333E-2"/>
  </r>
  <r>
    <x v="19"/>
    <n v="0.1528205399569664"/>
    <n v="-0.21237710000000001"/>
    <n v="-2.3839488499999999"/>
    <n v="-13.143520580000001"/>
    <n v="0.15314578653718627"/>
    <n v="0.14926220532952847"/>
    <n v="0.17594604452938165"/>
    <x v="1"/>
    <x v="2"/>
    <n v="-5.2466155100000007"/>
  </r>
  <r>
    <x v="20"/>
    <n v="51.682631779603042"/>
    <n v="-0.72235875999999999"/>
    <n v="-2.8591672400000001"/>
    <n v="-14.20576679"/>
    <n v="52.058682231039519"/>
    <n v="50.246014202129999"/>
    <n v="60.240216441003192"/>
    <x v="0"/>
    <x v="0"/>
    <n v="-5.9290975966666677"/>
  </r>
  <r>
    <x v="21"/>
    <n v="0.99966942013353111"/>
    <n v="-2.0172880000000001E-2"/>
    <n v="-1.4436249999999999E-2"/>
    <n v="2.039463E-2"/>
    <n v="0.99987112293531555"/>
    <n v="0.99952512618750189"/>
    <n v="0.99946558282593634"/>
    <x v="1"/>
    <x v="1"/>
    <n v="-4.7381666666666674E-3"/>
  </r>
  <r>
    <x v="22"/>
    <n v="8.7903406049150659E-2"/>
    <n v="-0.60981565000000004"/>
    <n v="-2.5925580799999999"/>
    <n v="-5.6495487000000004"/>
    <n v="8.8442743741777408E-2"/>
    <n v="8.5682049160529766E-2"/>
    <n v="9.3166916361268809E-2"/>
    <x v="1"/>
    <x v="2"/>
    <n v="-2.9506408099999999"/>
  </r>
  <r>
    <x v="23"/>
    <n v="223.7677684816947"/>
    <n v="-1.99731934"/>
    <n v="-7.8716961100000002"/>
    <n v="-19.966779209999999"/>
    <n v="228.32821201902695"/>
    <n v="207.43881532511736"/>
    <n v="279.59360659599253"/>
    <x v="0"/>
    <x v="0"/>
    <n v="-9.9452648866666653"/>
  </r>
  <r>
    <x v="24"/>
    <n v="8.5088772664168371"/>
    <n v="-0.16304726999999999"/>
    <n v="-3.5988840199999999"/>
    <n v="-15.170154459999999"/>
    <n v="8.522773415799584"/>
    <n v="8.2132904682391938"/>
    <n v="10.030523116306545"/>
    <x v="0"/>
    <x v="3"/>
    <n v="-6.3106952499999993"/>
  </r>
  <r>
    <x v="25"/>
    <n v="0.88482368935076139"/>
    <n v="-0.65635862"/>
    <n v="-6.0082980199999998"/>
    <n v="-21.126857050000002"/>
    <n v="0.8906696765485137"/>
    <n v="0.83467398861910469"/>
    <n v="1.1218314070629556"/>
    <x v="1"/>
    <x v="1"/>
    <n v="-9.2638378966666668"/>
  </r>
  <r>
    <x v="26"/>
    <n v="5.7746485681048302E-6"/>
    <n v="-0.79432091999999999"/>
    <n v="-3.28404249"/>
    <n v="-14.864581360000001"/>
    <n v="5.820885075992597E-6"/>
    <n v="5.5910365521023571E-6"/>
    <n v="6.7828979528758322E-6"/>
    <x v="1"/>
    <x v="4"/>
    <n v="-6.3143149233333338"/>
  </r>
  <r>
    <x v="27"/>
    <n v="1.292305264606834"/>
    <n v="-1.05936568"/>
    <n v="-4.2574809"/>
    <n v="-6.8538098999999999"/>
    <n v="1.3061420855936494"/>
    <n v="1.2395324090425381"/>
    <n v="1.3873946569574551"/>
    <x v="1"/>
    <x v="1"/>
    <n v="-4.0568854933333336"/>
  </r>
  <r>
    <x v="28"/>
    <n v="7.5382563602532565E-2"/>
    <n v="-0.20651428999999999"/>
    <n v="-3.9797884699999999"/>
    <n v="-9.5013005800000006"/>
    <n v="7.5538561526545325E-2"/>
    <n v="7.2497323481555034E-2"/>
    <n v="8.3296847452675321E-2"/>
    <x v="1"/>
    <x v="2"/>
    <n v="-4.5625344466666666"/>
  </r>
  <r>
    <x v="29"/>
    <n v="9.9801762275820577E-2"/>
    <n v="-0.63740695999999997"/>
    <n v="-6.7254532400000002"/>
    <n v="-26.625087659999998"/>
    <n v="0.10044198648846028"/>
    <n v="9.3512615075421884E-2"/>
    <n v="0.13601619285535296"/>
    <x v="1"/>
    <x v="2"/>
    <n v="-11.329315953333333"/>
  </r>
  <r>
    <x v="30"/>
    <n v="5071.1674294005952"/>
    <n v="0.66584604999999997"/>
    <n v="0.87862907999999995"/>
    <n v="0.71963999999999995"/>
    <n v="5037.6246049546762"/>
    <n v="5116.1191399314794"/>
    <n v="5034.9340301460525"/>
    <x v="0"/>
    <x v="0"/>
    <n v="0.75470504333333333"/>
  </r>
  <r>
    <x v="31"/>
    <n v="5098.2664520072221"/>
    <n v="0.64424605999999995"/>
    <n v="0.94714690999999995"/>
    <n v="0.61972174999999996"/>
    <n v="5065.6313218023843"/>
    <n v="5147.0162574468268"/>
    <n v="5066.8659814766606"/>
    <x v="0"/>
    <x v="0"/>
    <n v="0.73703823999999996"/>
  </r>
  <r>
    <x v="32"/>
    <n v="1.2306644584672599"/>
    <n v="-0.41244573000000001"/>
    <n v="-3.2869078900000002"/>
    <n v="-18.152878359999999"/>
    <n v="1.2357613031952812"/>
    <n v="1.1915009206954972"/>
    <n v="1.5036136076724469"/>
    <x v="1"/>
    <x v="1"/>
    <n v="-7.2840773266666661"/>
  </r>
  <r>
    <x v="33"/>
    <n v="3.2276829483870801"/>
    <n v="-0.21266515999999999"/>
    <n v="-4.0156176200000004"/>
    <n v="-16.407757960000001"/>
    <n v="3.2345617342745738"/>
    <n v="3.1030753094970471"/>
    <n v="3.8612230867579687"/>
    <x v="1"/>
    <x v="1"/>
    <n v="-6.8786802466666677"/>
  </r>
  <r>
    <x v="34"/>
    <n v="0.60481372928327315"/>
    <n v="-1.06143817"/>
    <n v="-5.3572131799999996"/>
    <n v="-15.312590159999999"/>
    <n v="0.61130232550023023"/>
    <n v="0.57406010564266252"/>
    <n v="0.71417195357131391"/>
    <x v="1"/>
    <x v="1"/>
    <n v="-7.2437471699999989"/>
  </r>
  <r>
    <x v="35"/>
    <n v="1.409029404604857"/>
    <n v="0.15004355"/>
    <n v="-7.3376242300000003"/>
    <n v="-3.50484485"/>
    <n v="1.406918414270482"/>
    <n v="1.3127078363367062"/>
    <n v="1.4602074087704673"/>
    <x v="1"/>
    <x v="1"/>
    <n v="-3.5641418433333332"/>
  </r>
  <r>
    <x v="36"/>
    <n v="0.65309877559370044"/>
    <n v="9.0207410000000002E-2"/>
    <n v="4.0566500400000001"/>
    <n v="15.03734379"/>
    <n v="0.65251016307560306"/>
    <n v="0.68071291638866649"/>
    <n v="0.56772762137652322"/>
    <x v="1"/>
    <x v="1"/>
    <n v="6.3947337466666667"/>
  </r>
  <r>
    <x v="37"/>
    <n v="104.83785423331101"/>
    <n v="-0.55982374999999995"/>
    <n v="-3.8056792399999999"/>
    <n v="-17.364759530000001"/>
    <n v="105.42806558361364"/>
    <n v="100.99433383690368"/>
    <n v="126.86821462251505"/>
    <x v="0"/>
    <x v="0"/>
    <n v="-7.2434208399999997"/>
  </r>
  <r>
    <x v="38"/>
    <n v="2.2936855510436591"/>
    <n v="-0.65125748999999999"/>
    <n v="-9.8060495700000008"/>
    <n v="-24.241075219999999"/>
    <n v="2.3087212712458709"/>
    <n v="2.0888517162995313"/>
    <n v="3.0276110144176456"/>
    <x v="1"/>
    <x v="1"/>
    <n v="-11.566127426666668"/>
  </r>
  <r>
    <x v="39"/>
    <n v="1.000186794524432"/>
    <n v="0.11641355"/>
    <n v="3.92611E-2"/>
    <n v="5.2951779999999997E-2"/>
    <n v="0.99902379545879372"/>
    <n v="1.0005796330947609"/>
    <n v="0.99965745810646189"/>
    <x v="1"/>
    <x v="1"/>
    <n v="6.9542143333333334E-2"/>
  </r>
  <r>
    <x v="40"/>
    <n v="145.2261068540993"/>
    <n v="-0.49059457000000001"/>
    <n v="-7.1814593699999998"/>
    <n v="-24.67678416"/>
    <n v="145.94209082704123"/>
    <n v="135.49554905085381"/>
    <n v="192.80391209343153"/>
    <x v="0"/>
    <x v="0"/>
    <n v="-10.782946033333333"/>
  </r>
  <r>
    <x v="41"/>
    <n v="1.0000822728850409"/>
    <n v="1.049516E-2"/>
    <n v="1.3021430000000001E-2"/>
    <n v="9.5452549999999997E-2"/>
    <n v="0.99997732366495851"/>
    <n v="1.0002125148575143"/>
    <n v="0.99912857917843623"/>
    <x v="1"/>
    <x v="1"/>
    <n v="3.9656379999999998E-2"/>
  </r>
  <r>
    <x v="42"/>
    <n v="71.982604810468757"/>
    <n v="-0.96741699999999997"/>
    <n v="-4.5446734099999997"/>
    <n v="-16.101403309999998"/>
    <n v="72.685779396937235"/>
    <n v="68.853440794797507"/>
    <n v="85.797149952865027"/>
    <x v="0"/>
    <x v="0"/>
    <n v="-7.2044979066666661"/>
  </r>
  <r>
    <x v="43"/>
    <n v="6.358661476751909E-2"/>
    <n v="-0.82329392000000001"/>
    <n v="-8.33384444"/>
    <n v="2.3562277300000001"/>
    <n v="6.4114465261860501E-2"/>
    <n v="5.8695059790605068E-2"/>
    <n v="6.2122858743144396E-2"/>
    <x v="1"/>
    <x v="2"/>
    <n v="-2.2669702099999998"/>
  </r>
  <r>
    <x v="44"/>
    <n v="3.514696529958217E-6"/>
    <n v="-0.63351069000000004"/>
    <n v="-3.9901823599999999"/>
    <n v="-16.82473487"/>
    <n v="3.53710446485957E-6"/>
    <n v="3.3798349519099904E-6"/>
    <n v="4.2256511289322256E-6"/>
    <x v="1"/>
    <x v="4"/>
    <n v="-7.1494759733333337"/>
  </r>
  <r>
    <x v="45"/>
    <n v="2.2875545320692701"/>
    <n v="-9.9025479999999999E-2"/>
    <n v="-3.1660390600000001"/>
    <n v="-16.27139549"/>
    <n v="2.2898220393348674"/>
    <n v="2.2173522923942626"/>
    <n v="2.7321063637171443"/>
    <x v="1"/>
    <x v="1"/>
    <n v="-6.5121533433333338"/>
  </r>
  <r>
    <x v="46"/>
    <n v="8.020847594323163"/>
    <n v="-0.47797124000000002"/>
    <n v="-4.0514766699999996"/>
    <n v="-17.13153432"/>
    <n v="8.0593690605580885"/>
    <n v="7.7085379766030018"/>
    <n v="9.6790106206334219"/>
    <x v="0"/>
    <x v="3"/>
    <n v="-7.2203274100000003"/>
  </r>
  <r>
    <x v="47"/>
    <n v="4.9219791747058634"/>
    <n v="-1.4345499100000001"/>
    <n v="-18.737242169999998"/>
    <n v="-14.294700110000001"/>
    <n v="4.9936150752739525"/>
    <n v="4.1452699125847179"/>
    <n v="5.7429110930398304"/>
    <x v="1"/>
    <x v="1"/>
    <n v="-11.488830729999998"/>
  </r>
  <r>
    <x v="48"/>
    <n v="0.94538062894248842"/>
    <n v="-0.51843433999999999"/>
    <n v="-5.2032280499999999"/>
    <n v="-20.44896773"/>
    <n v="0.95030734857303445"/>
    <n v="0.89862321381733345"/>
    <n v="1.1883951747273642"/>
    <x v="1"/>
    <x v="1"/>
    <n v="-8.7235433733333334"/>
  </r>
  <r>
    <x v="49"/>
    <n v="0.1327888739791398"/>
    <n v="-4.2757870000000003E-2"/>
    <n v="-4.0179147300000002"/>
    <n v="-17.091270130000002"/>
    <n v="0.13284567596056765"/>
    <n v="0.12765961932982484"/>
    <n v="0.16016271650446381"/>
    <x v="1"/>
    <x v="2"/>
    <n v="-7.050647576666667"/>
  </r>
  <r>
    <x v="50"/>
    <n v="0.23763435598126209"/>
    <n v="-0.58962819"/>
    <n v="-3.1292764800000001"/>
    <n v="-15.27701646"/>
    <n v="0.23904382576442362"/>
    <n v="0.2304237594717799"/>
    <n v="0.28048393251999737"/>
    <x v="1"/>
    <x v="2"/>
    <n v="-6.3319737099999998"/>
  </r>
  <r>
    <x v="51"/>
    <n v="7.8804922989198358"/>
    <n v="-0.40076800000000001"/>
    <n v="-3.28246422"/>
    <n v="-14.7100198"/>
    <n v="7.912201872118688"/>
    <n v="7.6300389988117923"/>
    <n v="9.2396460644504117"/>
    <x v="0"/>
    <x v="3"/>
    <n v="-6.1310840066666659"/>
  </r>
  <r>
    <x v="52"/>
    <n v="0.36284609214224112"/>
    <n v="-0.37371980999999999"/>
    <n v="-5.2883808400000003"/>
    <n v="-11.77131911"/>
    <n v="0.36420720662283829"/>
    <n v="0.34462121009690044"/>
    <n v="0.41125639472568243"/>
    <x v="1"/>
    <x v="2"/>
    <n v="-5.8111399199999996"/>
  </r>
  <r>
    <x v="53"/>
    <n v="0.99883106107317687"/>
    <n v="-6.0681649999999997E-2"/>
    <n v="-3.0183519999999998E-2"/>
    <n v="3.062028E-2"/>
    <n v="0.99943753626089937"/>
    <n v="0.99852966967062595"/>
    <n v="0.99852530982743681"/>
    <x v="1"/>
    <x v="1"/>
    <n v="-2.008163E-2"/>
  </r>
  <r>
    <x v="54"/>
    <n v="8.8131925322637167E-2"/>
    <n v="-0.32333882000000003"/>
    <n v="-4.5630416800000004"/>
    <n v="-20.093888159999999"/>
    <n v="8.8417814440518924E-2"/>
    <n v="8.4285923502830123E-2"/>
    <n v="0.11029434832107476"/>
    <x v="1"/>
    <x v="2"/>
    <n v="-8.32675622"/>
  </r>
  <r>
    <x v="55"/>
    <n v="1.87980980437886"/>
    <n v="-0.10375657000000001"/>
    <n v="-1.32305173"/>
    <n v="-8.3890630799999997"/>
    <n v="1.881762256351605"/>
    <n v="1.8552637058229078"/>
    <n v="2.0519491095483713"/>
    <x v="1"/>
    <x v="1"/>
    <n v="-3.2719571266666665"/>
  </r>
  <r>
    <x v="56"/>
    <n v="0.1088696072352828"/>
    <n v="-1.32270084"/>
    <n v="-5.6396511800000004"/>
    <n v="-21.921007580000001"/>
    <n v="0.11032892890466785"/>
    <n v="0.10305752245412024"/>
    <n v="0.13943521024151401"/>
    <x v="1"/>
    <x v="2"/>
    <n v="-9.6277865333333335"/>
  </r>
  <r>
    <x v="57"/>
    <n v="3.0640394684483749E-2"/>
    <n v="-1.5902057999999999"/>
    <n v="-0.57722390999999995"/>
    <n v="-6.4783113800000001"/>
    <n v="3.1135513424825095E-2"/>
    <n v="3.0464546040664082E-2"/>
    <n v="3.2762875795562973E-2"/>
    <x v="1"/>
    <x v="4"/>
    <n v="-2.8819136966666665"/>
  </r>
  <r>
    <x v="58"/>
    <n v="68.491446587236851"/>
    <n v="-0.79989235000000003"/>
    <n v="-0.50139484999999995"/>
    <n v="1.9373997700000001"/>
    <n v="69.043722037973865"/>
    <n v="68.149747264166308"/>
    <n v="67.189713237509679"/>
    <x v="0"/>
    <x v="0"/>
    <n v="0.21203752333333337"/>
  </r>
  <r>
    <x v="59"/>
    <n v="4.7913502355631798E-2"/>
    <n v="-0.99590953000000004"/>
    <n v="-4.3316650299999999"/>
    <n v="-3.1171087800000001"/>
    <n v="4.8395477528426406E-2"/>
    <n v="4.5924219020040111E-2"/>
    <n v="4.9455070706788305E-2"/>
    <x v="1"/>
    <x v="4"/>
    <n v="-2.814894446666667"/>
  </r>
  <r>
    <x v="60"/>
    <n v="8.8880451206858002E-2"/>
    <n v="-0.40551306999999998"/>
    <n v="-5.0717987600000001"/>
    <n v="-16.858181250000001"/>
    <n v="8.9242340561810046E-2"/>
    <n v="8.4590206178800184E-2"/>
    <n v="0.10690222146103583"/>
    <x v="1"/>
    <x v="2"/>
    <n v="-7.4451643599999997"/>
  </r>
  <r>
    <x v="61"/>
    <n v="6.8102435766992597"/>
    <n v="-0.50503843000000004"/>
    <n v="-2.04068607"/>
    <n v="-14.9413863"/>
    <n v="6.8448125103379143"/>
    <n v="6.6740472246799927"/>
    <n v="8.006530180140075"/>
    <x v="0"/>
    <x v="3"/>
    <n v="-5.8290369333333336"/>
  </r>
  <r>
    <x v="62"/>
    <n v="9.2104994702983563E-3"/>
    <n v="3.4490460000000001E-2"/>
    <n v="-4.6883962199999996"/>
    <n v="-6.9845569200000002"/>
    <n v="9.2073238219584734E-3"/>
    <n v="8.7980137272737728E-3"/>
    <n v="9.9021185787145707E-3"/>
    <x v="1"/>
    <x v="4"/>
    <n v="-3.8794875599999998"/>
  </r>
  <r>
    <x v="63"/>
    <n v="0.95536859761374782"/>
    <n v="-0.47556168999999998"/>
    <n v="-4.2400807499999997"/>
    <n v="-24.528712179999999"/>
    <n v="0.95993367441869248"/>
    <n v="0.91650792165541162"/>
    <n v="1.2658702735963832"/>
    <x v="1"/>
    <x v="1"/>
    <n v="-9.7481182066666658"/>
  </r>
  <r>
    <x v="64"/>
    <n v="3.119812013408787"/>
    <n v="-0.30872885"/>
    <n v="-4.7893773599999996"/>
    <n v="-26.149816959999999"/>
    <n v="3.1294736012690385"/>
    <n v="2.9772216344895237"/>
    <n v="4.2245149368404151"/>
    <x v="1"/>
    <x v="1"/>
    <n v="-10.415974390000001"/>
  </r>
  <r>
    <x v="65"/>
    <n v="1.000366894530115"/>
    <n v="4.3989979999999998E-2"/>
    <n v="6.0635750000000002E-2"/>
    <n v="9.4146880000000002E-2"/>
    <n v="0.99992702683099743"/>
    <n v="1.0009738425268349"/>
    <n v="0.99942596616506074"/>
    <x v="1"/>
    <x v="1"/>
    <n v="6.6257536666666672E-2"/>
  </r>
  <r>
    <x v="66"/>
    <n v="3.5147277096234483E-2"/>
    <n v="6.1694529999999997E-2"/>
    <n v="-2.8845718200000001"/>
    <n v="-3.4758138299999999"/>
    <n v="3.5125606518383319E-2"/>
    <n v="3.4161853885853577E-2"/>
    <n v="3.6412922492122871E-2"/>
    <x v="1"/>
    <x v="4"/>
    <n v="-2.0995637066666668"/>
  </r>
  <r>
    <x v="67"/>
    <n v="2.307681322161578"/>
    <n v="2.1352056199999998"/>
    <n v="19.1501512"/>
    <n v="25.13062936"/>
    <n v="2.2594376817993993"/>
    <n v="2.854280318903426"/>
    <n v="1.8442177858167677"/>
    <x v="1"/>
    <x v="1"/>
    <n v="15.471995393333335"/>
  </r>
  <r>
    <x v="68"/>
    <n v="1.8507287056221721E-3"/>
    <n v="-0.48234779"/>
    <n v="-6.01690799"/>
    <n v="-21.300289289999998"/>
    <n v="1.8596989222744167E-3"/>
    <n v="1.7456920228203043E-3"/>
    <n v="2.3516334290502147E-3"/>
    <x v="1"/>
    <x v="4"/>
    <n v="-9.2665150233333335"/>
  </r>
  <r>
    <x v="69"/>
    <n v="0.8648881992558225"/>
    <n v="-0.66262103999999999"/>
    <n v="-5.76054127"/>
    <n v="-20.972457429999999"/>
    <n v="0.87065735809688061"/>
    <n v="0.81777966420180981"/>
    <n v="1.0944136324240792"/>
    <x v="1"/>
    <x v="1"/>
    <n v="-9.1318732466666663"/>
  </r>
  <r>
    <x v="70"/>
    <n v="1.246317164819658"/>
    <n v="-0.57772281000000003"/>
    <n v="-5.1521251100000001"/>
    <n v="-19.580894350000001"/>
    <n v="1.2535592626166623"/>
    <n v="1.1852515234626797"/>
    <n v="1.5497774499555854"/>
    <x v="1"/>
    <x v="1"/>
    <n v="-8.4369140900000001"/>
  </r>
  <r>
    <x v="71"/>
    <n v="7.4300902876487376E-3"/>
    <n v="-0.24043733"/>
    <n v="-3.7011489000000002"/>
    <n v="-12.87875309"/>
    <n v="7.4479980553113804E-3"/>
    <n v="7.1649064320527872E-3"/>
    <n v="8.5284480550701265E-3"/>
    <x v="1"/>
    <x v="4"/>
    <n v="-5.6067797733333338"/>
  </r>
  <r>
    <x v="72"/>
    <n v="0.10632922116298039"/>
    <n v="-0.32393378"/>
    <n v="-2.53828041"/>
    <n v="-21.600392020000001"/>
    <n v="0.10667477679977447"/>
    <n v="0.10369709803774971"/>
    <n v="0.13562468474345604"/>
    <x v="1"/>
    <x v="2"/>
    <n v="-8.1542020700000002"/>
  </r>
  <r>
    <x v="73"/>
    <n v="0.79344319889207571"/>
    <n v="-1.1359404500000001"/>
    <n v="-5.1069224699999998"/>
    <n v="-1.45677879"/>
    <n v="0.80255980029911256"/>
    <n v="0.75489147645678922"/>
    <n v="0.80517278525045666"/>
    <x v="1"/>
    <x v="1"/>
    <n v="-2.5665472366666666"/>
  </r>
  <r>
    <x v="74"/>
    <n v="5.7457243528504051E-6"/>
    <n v="-0.31095719999999999"/>
    <n v="-4.4539371699999997"/>
    <n v="-19.584091260000001"/>
    <n v="5.763646827643534E-6"/>
    <n v="5.5007254953914965E-6"/>
    <n v="7.1450095421136509E-6"/>
    <x v="1"/>
    <x v="4"/>
    <n v="-8.1163285433333332"/>
  </r>
  <r>
    <x v="75"/>
    <n v="0.99863403188952038"/>
    <n v="1.8094550000000001E-2"/>
    <n v="4.7508580000000002E-2"/>
    <n v="9.3162209999999995E-2"/>
    <n v="0.99845336624593839"/>
    <n v="0.99910869424281168"/>
    <n v="0.99770454828306943"/>
    <x v="1"/>
    <x v="1"/>
    <n v="5.2921780000000002E-2"/>
  </r>
  <r>
    <x v="76"/>
    <n v="7.0216119373594149E-2"/>
    <n v="-0.13670563999999999"/>
    <n v="-3.6009281099999999"/>
    <n v="-18.628705830000001"/>
    <n v="7.0312240171518964E-2"/>
    <n v="6.7775569827946941E-2"/>
    <n v="8.6291019566309732E-2"/>
    <x v="1"/>
    <x v="2"/>
    <n v="-7.455446526666667"/>
  </r>
  <r>
    <x v="77"/>
    <n v="1.192157153370474"/>
    <n v="4.3126079999999997E-2"/>
    <n v="0.15825891"/>
    <n v="0.93646048000000004"/>
    <n v="1.1916432443516003"/>
    <n v="1.1940468388825789"/>
    <n v="1.1810966500125031"/>
    <x v="1"/>
    <x v="1"/>
    <n v="0.37928182333333332"/>
  </r>
  <r>
    <x v="78"/>
    <n v="0.24689532952124141"/>
    <n v="-0.72073821000000005"/>
    <n v="-2.9634115599999999"/>
    <n v="-17.611638809999999"/>
    <n v="0.2486877169206653"/>
    <n v="0.2397893832192689"/>
    <n v="0.29967258233461336"/>
    <x v="1"/>
    <x v="2"/>
    <n v="-7.098596193333333"/>
  </r>
  <r>
    <x v="79"/>
    <n v="0.13810190956719989"/>
    <n v="-0.12687551"/>
    <n v="-5.5923430099999996"/>
    <n v="-27.178618149999998"/>
    <n v="0.13827734965979524"/>
    <n v="0.13078780679591617"/>
    <n v="0.18964472529739546"/>
    <x v="1"/>
    <x v="2"/>
    <n v="-10.965945556666666"/>
  </r>
  <r>
    <x v="80"/>
    <n v="0.43835936280541982"/>
    <n v="-4.7164908199999998"/>
    <n v="24.37316195"/>
    <n v="150.40996651"/>
    <n v="0.46005795397114885"/>
    <n v="0.57963465630495159"/>
    <n v="0.17505667562473562"/>
    <x v="1"/>
    <x v="2"/>
    <n v="56.688879213333337"/>
  </r>
  <r>
    <x v="81"/>
    <n v="1.2656174921367569"/>
    <n v="-0.71686528999999999"/>
    <n v="-4.8252968799999998"/>
    <n v="-19.92190991"/>
    <n v="1.2747557738114823"/>
    <n v="1.2073588435295228"/>
    <n v="1.5804791182136408"/>
    <x v="1"/>
    <x v="1"/>
    <n v="-8.4880240266666664"/>
  </r>
  <r>
    <x v="82"/>
    <n v="0.38727092982202782"/>
    <n v="-0.90364071000000001"/>
    <n v="-3.4665612700000001"/>
    <n v="-19.069884389999999"/>
    <n v="0.39080237921627464"/>
    <n v="0.37429573870869193"/>
    <n v="0.47852511627226113"/>
    <x v="1"/>
    <x v="2"/>
    <n v="-7.8133621233333335"/>
  </r>
  <r>
    <x v="83"/>
    <n v="32.852839505765701"/>
    <n v="-1.7178388899999999"/>
    <n v="-6.6738093799999998"/>
    <n v="-22.60200034"/>
    <n v="33.427062586664057"/>
    <n v="30.797474747278685"/>
    <n v="42.446626075718015"/>
    <x v="0"/>
    <x v="3"/>
    <n v="-10.331216203333334"/>
  </r>
  <r>
    <x v="84"/>
    <n v="1.0872839700579451"/>
    <n v="-0.37318814"/>
    <n v="-4.16790986"/>
    <n v="-16.5861792"/>
    <n v="1.0913567841414464"/>
    <n v="1.0437801540985485"/>
    <n v="1.3034817966975865"/>
    <x v="1"/>
    <x v="1"/>
    <n v="-7.0424257333333342"/>
  </r>
  <r>
    <x v="85"/>
    <n v="23.113544626231281"/>
    <n v="-0.24907196000000001"/>
    <n v="-7.83763057"/>
    <n v="15.82783437"/>
    <n v="23.171257732021079"/>
    <n v="21.433654007473507"/>
    <n v="19.955086574784314"/>
    <x v="0"/>
    <x v="3"/>
    <n v="2.58037728"/>
  </r>
  <r>
    <x v="86"/>
    <n v="3.8502086255255107E-2"/>
    <n v="-0.47867208"/>
    <n v="-1.1227845400000001"/>
    <n v="-15.202730949999999"/>
    <n v="3.8687271422066356E-2"/>
    <n v="3.8074590637904422E-2"/>
    <n v="4.5404865848395037E-2"/>
    <x v="1"/>
    <x v="4"/>
    <n v="-5.6013958566666666"/>
  </r>
  <r>
    <x v="87"/>
    <n v="0.9985629134277707"/>
    <n v="-1.0180460000000001E-2"/>
    <n v="7.2424000000000004E-3"/>
    <n v="0.11981321"/>
    <n v="0.99866458207608311"/>
    <n v="0.99863523858629"/>
    <n v="0.99736793488946884"/>
    <x v="1"/>
    <x v="1"/>
    <n v="3.8958383333333332E-2"/>
  </r>
  <r>
    <x v="88"/>
    <n v="1.1214963887865399"/>
    <n v="-0.88715299000000003"/>
    <n v="-4.6705742700000004"/>
    <n v="-18.022863990000001"/>
    <n v="1.1315348338983606"/>
    <n v="1.0714533636680124"/>
    <n v="1.3680599779061982"/>
    <x v="1"/>
    <x v="1"/>
    <n v="-7.8601970833333334"/>
  </r>
  <r>
    <x v="89"/>
    <n v="19.811739203916741"/>
    <n v="0.64349738999999995"/>
    <n v="20.417884860000001"/>
    <n v="27.030929189999998"/>
    <n v="19.685066315953808"/>
    <n v="24.894713050870969"/>
    <n v="15.595996447671693"/>
    <x v="0"/>
    <x v="3"/>
    <n v="16.030770480000001"/>
  </r>
  <r>
    <x v="90"/>
    <n v="0.1749841199388438"/>
    <n v="-0.51651568000000003"/>
    <n v="-4.2010008299999999"/>
    <n v="-22.65362124"/>
    <n v="0.17589263296808882"/>
    <n v="0.16792940427158065"/>
    <n v="0.22623440520959148"/>
    <x v="1"/>
    <x v="2"/>
    <n v="-9.123712583333333"/>
  </r>
  <r>
    <x v="91"/>
    <n v="5.8634486462185616E-3"/>
    <n v="-0.65140861999999999"/>
    <n v="-5.0215550999999996"/>
    <n v="-22.172805539999999"/>
    <n v="5.9018940930841831E-3"/>
    <n v="5.5830906718487179E-3"/>
    <n v="7.5339329483759491E-3"/>
    <x v="1"/>
    <x v="4"/>
    <n v="-9.2819230866666658"/>
  </r>
  <r>
    <x v="92"/>
    <n v="2.0590646146786039E-2"/>
    <n v="-0.90612546000000005"/>
    <n v="-4.1406861299999997"/>
    <n v="-22.74870992"/>
    <n v="2.0778929315630367E-2"/>
    <n v="1.9771951685705721E-2"/>
    <n v="2.6654112993404703E-2"/>
    <x v="1"/>
    <x v="4"/>
    <n v="-9.2651738366666674"/>
  </r>
  <r>
    <x v="93"/>
    <n v="4.0510311416757629E-2"/>
    <n v="-9.6083950000000001E-2"/>
    <n v="-6.3699296299999997"/>
    <n v="-1.27454383"/>
    <n v="4.0549272759721443E-2"/>
    <n v="3.8084364216155617E-2"/>
    <n v="4.1033298794792117E-2"/>
    <x v="1"/>
    <x v="4"/>
    <n v="-2.5801858033333329"/>
  </r>
  <r>
    <x v="94"/>
    <n v="0.53628450388455706"/>
    <n v="-1.0868862100000001"/>
    <n v="-4.1790805799999999"/>
    <n v="-17.540710109999999"/>
    <n v="0.54217735478748508"/>
    <n v="0.51477177653985884"/>
    <n v="0.65036274821182194"/>
    <x v="1"/>
    <x v="1"/>
    <n v="-7.6022256333333331"/>
  </r>
  <r>
    <x v="95"/>
    <n v="1.404529329030306"/>
    <n v="-0.48524430000000002"/>
    <n v="-4.35476565"/>
    <n v="-7.1181616099999996"/>
    <n v="1.4113779601333092"/>
    <n v="1.3459177645427505"/>
    <n v="1.5121678827381206"/>
    <x v="1"/>
    <x v="1"/>
    <n v="-3.9860571866666668"/>
  </r>
  <r>
    <x v="96"/>
    <n v="0.1509454100785329"/>
    <n v="-0.58333508000000001"/>
    <n v="-3.4557898499999999"/>
    <n v="-18.084881580000001"/>
    <n v="0.15183109411284093"/>
    <n v="0.14590329869153565"/>
    <n v="0.18427051439344413"/>
    <x v="1"/>
    <x v="2"/>
    <n v="-7.3746688366666673"/>
  </r>
  <r>
    <x v="97"/>
    <n v="0.14108161209114081"/>
    <n v="-0.88579428999999998"/>
    <n v="-7.6632075999999998"/>
    <n v="25.00042882"/>
    <n v="0.14234247359448551"/>
    <n v="0.13103976301291323"/>
    <n v="0.11286490248309279"/>
    <x v="1"/>
    <x v="2"/>
    <n v="5.4838089766666664"/>
  </r>
  <r>
    <x v="98"/>
    <n v="5.3595729553100088E-2"/>
    <n v="0.3840787"/>
    <n v="-0.44229858999999999"/>
    <n v="-10.83080949"/>
    <n v="5.3390667371936637E-2"/>
    <n v="5.3359720262750002E-2"/>
    <n v="6.0105658968710188E-2"/>
    <x v="1"/>
    <x v="2"/>
    <n v="-3.6296764600000002"/>
  </r>
  <r>
    <x v="99"/>
    <n v="0.22637362445304729"/>
    <n v="-0.15528676"/>
    <n v="-7.59189778"/>
    <n v="-20.40432564"/>
    <n v="0.22672569944580401"/>
    <n v="0.21040025236466026"/>
    <n v="0.28440443060911996"/>
    <x v="1"/>
    <x v="2"/>
    <n v="-9.3838367266666669"/>
  </r>
  <r>
    <x v="100"/>
    <n v="3.3106487986011809E-7"/>
    <n v="0.11810759999999999"/>
    <n v="-3.3365031699999999"/>
    <n v="-5.1182819899999998"/>
    <n v="3.3067432834709124E-7"/>
    <n v="3.2037553981817991E-7"/>
    <n v="3.4892378300446216E-7"/>
    <x v="1"/>
    <x v="4"/>
    <n v="-2.7788925199999999"/>
  </r>
  <r>
    <x v="101"/>
    <n v="0.17837744332761951"/>
    <n v="-0.97671949999999996"/>
    <n v="2.5932835399999998"/>
    <n v="19.692439"/>
    <n v="0.18013687531551686"/>
    <n v="0.18312643091800562"/>
    <n v="0.14902983414651574"/>
    <x v="1"/>
    <x v="2"/>
    <n v="7.1030010133333334"/>
  </r>
  <r>
    <x v="102"/>
    <n v="120.76652611799931"/>
    <n v="-0.20182232"/>
    <n v="-3.1030221"/>
    <n v="4.1942955299999998"/>
    <n v="121.01075282680382"/>
    <n v="117.13189745385679"/>
    <n v="115.90512273604055"/>
    <x v="0"/>
    <x v="0"/>
    <n v="0.29648370333333318"/>
  </r>
  <r>
    <x v="103"/>
    <n v="1.6547357627381579E-2"/>
    <n v="-0.40144846000000001"/>
    <n v="-0.49014168000000002"/>
    <n v="-11.647352059999999"/>
    <n v="1.6614054493288448E-2"/>
    <n v="1.6466647723589498E-2"/>
    <n v="1.8728762536487687E-2"/>
    <x v="1"/>
    <x v="4"/>
    <n v="-4.1796473999999995"/>
  </r>
  <r>
    <x v="104"/>
    <n v="0.26728397248088998"/>
    <n v="-0.39810609000000002"/>
    <n v="-3.7725876500000002"/>
    <n v="-13.43490227"/>
    <n v="0.26835229932716648"/>
    <n v="0.25756703049785612"/>
    <n v="0.30876644223814009"/>
    <x v="1"/>
    <x v="2"/>
    <n v="-5.8685320033333328"/>
  </r>
  <r>
    <x v="105"/>
    <n v="3.1108117322919438E-7"/>
    <n v="-0.14278034000000001"/>
    <n v="-1.5953808899999999"/>
    <n v="-7.9675474299999998"/>
    <n v="3.1152597106987628E-7"/>
    <n v="3.0619617792073654E-7"/>
    <n v="3.3801247771006172E-7"/>
    <x v="1"/>
    <x v="4"/>
    <n v="-3.2352362199999996"/>
  </r>
  <r>
    <x v="106"/>
    <n v="0.4304352448880982"/>
    <n v="-0.17802377"/>
    <n v="-0.76652334"/>
    <n v="-15.164589339999999"/>
    <n v="0.43120288852660216"/>
    <n v="0.42716095645748431"/>
    <n v="0.50737686249104108"/>
    <x v="1"/>
    <x v="2"/>
    <n v="-5.3697121499999989"/>
  </r>
  <r>
    <x v="107"/>
    <n v="2.9598353696711581"/>
    <n v="-0.52201682999999999"/>
    <n v="-3.17807233"/>
    <n v="-18.53883021"/>
    <n v="2.9753672876670949"/>
    <n v="2.8686670557330793"/>
    <n v="3.6334309675411771"/>
    <x v="1"/>
    <x v="1"/>
    <n v="-7.4129731233333338"/>
  </r>
  <r>
    <x v="108"/>
    <n v="0.1476508045447785"/>
    <n v="-0.48499239999999999"/>
    <n v="-3.96328368"/>
    <n v="-19.037453459999998"/>
    <n v="0.14837038965847246"/>
    <n v="0.14202206713597956"/>
    <n v="0.18236926931619027"/>
    <x v="1"/>
    <x v="2"/>
    <n v="-7.8285765133333323"/>
  </r>
  <r>
    <x v="109"/>
    <n v="6.4724017150110766E-2"/>
    <n v="-0.74218687000000005"/>
    <n v="-3.6320324400000001"/>
    <n v="-14.72286218"/>
    <n v="6.5207982232431808E-2"/>
    <n v="6.2455609164651024E-2"/>
    <n v="7.5898439845305268E-2"/>
    <x v="1"/>
    <x v="2"/>
    <n v="-6.3656938300000006"/>
  </r>
  <r>
    <x v="110"/>
    <n v="0.32333264642340648"/>
    <n v="-0.87403682999999999"/>
    <n v="-5.0935908100000002"/>
    <n v="-22.237405460000002"/>
    <n v="0.32618361131976531"/>
    <n v="0.30766162230384109"/>
    <n v="0.41579457107374246"/>
    <x v="1"/>
    <x v="2"/>
    <n v="-9.4016777000000005"/>
  </r>
  <r>
    <x v="111"/>
    <n v="13.62369836033956"/>
    <n v="0.22647862999999999"/>
    <n v="-2.5496257199999999"/>
    <n v="-9.8149884400000005"/>
    <n v="13.592913316483301"/>
    <n v="13.284981066179128"/>
    <n v="15.106388661131042"/>
    <x v="0"/>
    <x v="3"/>
    <n v="-4.0460451766666665"/>
  </r>
  <r>
    <x v="112"/>
    <n v="2.5414054955931301E-2"/>
    <n v="-0.66542818999999997"/>
    <n v="-3.18362883"/>
    <n v="-14.29712784"/>
    <n v="2.5584300101017671E-2"/>
    <n v="2.4629929422042503E-2"/>
    <n v="2.9653679410516623E-2"/>
    <x v="1"/>
    <x v="4"/>
    <n v="-6.0487282866666661"/>
  </r>
  <r>
    <x v="113"/>
    <n v="2.852167287786689E-5"/>
    <n v="-0.73130808999999997"/>
    <n v="-3.7961998399999999"/>
    <n v="-18.60843169"/>
    <n v="2.8731790788303631E-5"/>
    <n v="2.7478532857496269E-5"/>
    <n v="3.5042539995340809E-5"/>
    <x v="1"/>
    <x v="4"/>
    <n v="-7.7119798733333331"/>
  </r>
  <r>
    <x v="114"/>
    <n v="0.30013543771096562"/>
    <n v="-1.10310793"/>
    <n v="-5.8348437100000003"/>
    <n v="-19.575291119999999"/>
    <n v="0.30348318478858505"/>
    <n v="0.28358849239988698"/>
    <n v="0.37318809342386472"/>
    <x v="1"/>
    <x v="2"/>
    <n v="-8.8377475866666675"/>
  </r>
  <r>
    <x v="115"/>
    <n v="5.3313298846273663E-3"/>
    <n v="-0.77512862000000005"/>
    <n v="-3.63549056"/>
    <n v="-12.143526509999999"/>
    <n v="5.3729773699681127E-3"/>
    <n v="5.1443090159743882E-3"/>
    <n v="6.0682265891701071E-3"/>
    <x v="1"/>
    <x v="4"/>
    <n v="-5.5180485633333332"/>
  </r>
  <r>
    <x v="116"/>
    <n v="0.28748840724311048"/>
    <n v="-0.87556358000000001"/>
    <n v="-4.3398525599999997"/>
    <n v="-23.421458869999999"/>
    <n v="0.29002778489957187"/>
    <n v="0.27553077773211537"/>
    <n v="0.37541640647746105"/>
    <x v="1"/>
    <x v="2"/>
    <n v="-9.545625003333333"/>
  </r>
  <r>
    <x v="117"/>
    <n v="0.28052541689211002"/>
    <n v="-0.7276357"/>
    <n v="-1.565401"/>
    <n v="-9.5708274400000004"/>
    <n v="0.28258158135970779"/>
    <n v="0.27620175190575974"/>
    <n v="0.31021561842333639"/>
    <x v="1"/>
    <x v="2"/>
    <n v="-3.9546213800000003"/>
  </r>
  <r>
    <x v="118"/>
    <n v="7.3771277428032175E-2"/>
    <n v="-1.88130099"/>
    <n v="-7.7614303099999997"/>
    <n v="-32.298373349999999"/>
    <n v="7.5185747642774595E-2"/>
    <n v="6.8457960529859793E-2"/>
    <n v="0.10896529533833907"/>
    <x v="1"/>
    <x v="2"/>
    <n v="-13.980368216666667"/>
  </r>
  <r>
    <x v="119"/>
    <n v="2.637174289712788E-3"/>
    <n v="0.10032968"/>
    <n v="-6.8325511600000004"/>
    <n v="-9.0291363600000007"/>
    <n v="2.6345310731176286E-3"/>
    <n v="2.4685119479765762E-3"/>
    <n v="2.898921901136288E-3"/>
    <x v="1"/>
    <x v="4"/>
    <n v="-5.2537859466666674"/>
  </r>
  <r>
    <x v="120"/>
    <n v="1.468109233759088"/>
    <n v="-1.1947332399999999"/>
    <n v="-2.3706475600000001"/>
    <n v="-7.2936291300000002"/>
    <n v="1.4858613127629676"/>
    <n v="1.4341115043729904"/>
    <n v="1.5836120214626712"/>
    <x v="1"/>
    <x v="1"/>
    <n v="-3.6196699766666662"/>
  </r>
  <r>
    <x v="121"/>
    <n v="4.2805932677062043E-2"/>
    <n v="-0.31035172"/>
    <n v="-4.79848973"/>
    <n v="-15.073092920000001"/>
    <n v="4.2939195207944057E-2"/>
    <n v="4.0845944237694727E-2"/>
    <n v="5.0403263404776334E-2"/>
    <x v="1"/>
    <x v="4"/>
    <n v="-6.7273114566666665"/>
  </r>
  <r>
    <x v="122"/>
    <n v="4.4579949550779249E-2"/>
    <n v="-0.26051481999999998"/>
    <n v="-5.5656648400000002"/>
    <n v="-20.75861299"/>
    <n v="4.4696390271441393E-2"/>
    <n v="4.2229591996930625E-2"/>
    <n v="5.6258416507971282E-2"/>
    <x v="1"/>
    <x v="4"/>
    <n v="-8.8615975500000008"/>
  </r>
  <r>
    <x v="123"/>
    <n v="2.3449140046801222E-3"/>
    <n v="-0.18439063"/>
    <n v="-3.5448061100000001"/>
    <n v="-15.08264571"/>
    <n v="2.3492457937995576E-3"/>
    <n v="2.26463701345775E-3"/>
    <n v="2.7614072815693729E-3"/>
    <x v="1"/>
    <x v="4"/>
    <n v="-6.2706141500000001"/>
  </r>
  <r>
    <x v="124"/>
    <n v="4.4046327149890069E-2"/>
    <n v="-0.68285938000000002"/>
    <n v="-4.3615240200000001"/>
    <n v="-21.043696090000001"/>
    <n v="4.4349169614555171E-2"/>
    <n v="4.2205523121192599E-2"/>
    <n v="5.5785700404741838E-2"/>
    <x v="1"/>
    <x v="4"/>
    <n v="-8.6960264966666667"/>
  </r>
  <r>
    <x v="125"/>
    <n v="8.0547900863092589E-2"/>
    <n v="-0.44346525999999997"/>
    <n v="-5.0392618599999999"/>
    <n v="-19.181585640000002"/>
    <n v="8.0906693943747637E-2"/>
    <n v="7.6683612809893539E-2"/>
    <n v="9.9665282350501913E-2"/>
    <x v="1"/>
    <x v="2"/>
    <n v="-8.2214375866666671"/>
  </r>
  <r>
    <x v="126"/>
    <n v="0.20719608193177691"/>
    <n v="-0.75983319000000005"/>
    <n v="-5.7883657900000003"/>
    <n v="-17.878542329999998"/>
    <n v="0.20878248051362472"/>
    <n v="0.19585904403049473"/>
    <n v="0.25230443761042526"/>
    <x v="1"/>
    <x v="2"/>
    <n v="-8.1422471033333323"/>
  </r>
  <r>
    <x v="127"/>
    <n v="5.4101646528916119"/>
    <n v="-0.39484283999999997"/>
    <n v="-4.5232642099999998"/>
    <n v="-20.308800130000002"/>
    <n v="5.4316109799425689"/>
    <n v="5.1760387448500751"/>
    <n v="6.7889110236979695"/>
    <x v="0"/>
    <x v="3"/>
    <n v="-8.4089690600000004"/>
  </r>
  <r>
    <x v="128"/>
    <n v="1.8325708249173029E-2"/>
    <n v="-3.8579989000000001"/>
    <n v="10.16282893"/>
    <n v="1.1440471299999999"/>
    <n v="1.9061084686714545E-2"/>
    <n v="2.0398803781225331E-2"/>
    <n v="1.8118424928774184E-2"/>
    <x v="1"/>
    <x v="4"/>
    <n v="2.482959053333333"/>
  </r>
  <r>
    <x v="129"/>
    <n v="0.19353313861130719"/>
    <n v="-0.31332276999999997"/>
    <n v="-2.8886095699999998"/>
    <n v="-11.663467020000001"/>
    <n v="0.19414142791095534"/>
    <n v="0.18809967344309134"/>
    <n v="0.21908618335193714"/>
    <x v="1"/>
    <x v="2"/>
    <n v="-4.9551331200000002"/>
  </r>
  <r>
    <x v="130"/>
    <n v="0.1284005625993129"/>
    <n v="-0.47158462000000001"/>
    <n v="0.88835215999999995"/>
    <n v="4.85463062"/>
    <n v="0.12900894896103679"/>
    <n v="0.1295514355755594"/>
    <n v="0.12245578649229608"/>
    <x v="1"/>
    <x v="2"/>
    <n v="1.7571327200000002"/>
  </r>
  <r>
    <x v="131"/>
    <n v="0.44467593972987368"/>
    <n v="-0.82347197999999999"/>
    <n v="-11.230370000000001"/>
    <n v="-35.457916640000001"/>
    <n v="0.44836812561153588"/>
    <n v="0.39977925069373921"/>
    <n v="0.6889705391900347"/>
    <x v="1"/>
    <x v="2"/>
    <n v="-15.837252873333334"/>
  </r>
  <r>
    <x v="132"/>
    <n v="2.6410183599351919E-2"/>
    <n v="-1.09612653"/>
    <n v="-8.4269368199999999"/>
    <n v="-22.561242109999998"/>
    <n v="2.6702880961849064E-2"/>
    <n v="2.4357585277167401E-2"/>
    <n v="3.4104606425721586E-2"/>
    <x v="1"/>
    <x v="4"/>
    <n v="-10.694768486666666"/>
  </r>
  <r>
    <x v="133"/>
    <n v="1.9091864495044851E-3"/>
    <n v="-0.96494687999999995"/>
    <n v="-8.7267090500000002"/>
    <n v="-5.1750847599999998"/>
    <n v="1.9277885853114438E-3"/>
    <n v="1.7559498178377775E-3"/>
    <n v="2.0133806022102647E-3"/>
    <x v="1"/>
    <x v="4"/>
    <n v="-4.9555802299999998"/>
  </r>
  <r>
    <x v="134"/>
    <n v="9.423029280446342E-2"/>
    <n v="-0.67194023000000003"/>
    <n v="-4.22504524"/>
    <n v="-16.109595150000001"/>
    <n v="9.4867747364298913E-2"/>
    <n v="9.0410411995963572E-2"/>
    <n v="0.11232547151602335"/>
    <x v="1"/>
    <x v="2"/>
    <n v="-7.0021935400000004"/>
  </r>
  <r>
    <x v="135"/>
    <n v="5.0079221390440807E-3"/>
    <n v="-7.6883510000000002E-2"/>
    <n v="-2.3895830899999999"/>
    <n v="-10.20158612"/>
    <n v="5.0117753678602071E-3"/>
    <n v="4.8910465185136457E-3"/>
    <n v="5.5768492144374618E-3"/>
    <x v="1"/>
    <x v="4"/>
    <n v="-4.2226842400000004"/>
  </r>
  <r>
    <x v="136"/>
    <n v="0.8194020234188315"/>
    <n v="0.15342996"/>
    <n v="-3.54188562"/>
    <n v="13.13850309"/>
    <n v="0.81814674120106534"/>
    <n v="0.79137251413987875"/>
    <n v="0.72424683113140487"/>
    <x v="1"/>
    <x v="1"/>
    <n v="3.2500158100000003"/>
  </r>
  <r>
    <x v="137"/>
    <n v="7.8584345408679854E-2"/>
    <n v="-0.26762035000000001"/>
    <n v="0.71515625999999999"/>
    <n v="0.91161919000000002"/>
    <n v="7.8795217445390461E-2"/>
    <n v="7.9150394409111313E-2"/>
    <n v="7.7874427186346545E-2"/>
    <x v="1"/>
    <x v="2"/>
    <n v="0.4530517"/>
  </r>
  <r>
    <x v="138"/>
    <n v="5.2578745336369158E-2"/>
    <n v="-0.56847901999999995"/>
    <n v="-1.6115623800000001"/>
    <n v="-0.58983929000000002"/>
    <n v="5.2879353366167482E-2"/>
    <n v="5.1744844882650999E-2"/>
    <n v="5.2890715557489372E-2"/>
    <x v="1"/>
    <x v="2"/>
    <n v="-0.92329356333333334"/>
  </r>
  <r>
    <x v="139"/>
    <n v="2.0861476964336621E-2"/>
    <n v="-0.38594159"/>
    <n v="-1.80089586"/>
    <n v="-14.21766126"/>
    <n v="2.0942302017726438E-2"/>
    <n v="2.0492429647206663E-2"/>
    <n v="2.4319081609055021E-2"/>
    <x v="1"/>
    <x v="4"/>
    <n v="-5.4681662366666659"/>
  </r>
  <r>
    <x v="140"/>
    <n v="3.8318953265703828E-3"/>
    <n v="-0.51736875999999998"/>
    <n v="-4.0427351700000003"/>
    <n v="-19.386281499999999"/>
    <n v="3.8518234578315551E-3"/>
    <n v="3.6830013362386914E-3"/>
    <n v="4.7534035122947255E-3"/>
    <x v="1"/>
    <x v="4"/>
    <n v="-7.9821284766666665"/>
  </r>
  <r>
    <x v="141"/>
    <n v="2.5633048086770671"/>
    <n v="-0.16131725999999999"/>
    <n v="-2.6274536099999999"/>
    <n v="-19.955495540000001"/>
    <n v="2.5674465430923483"/>
    <n v="2.4976794400629063"/>
    <n v="3.2023495253918486"/>
    <x v="1"/>
    <x v="1"/>
    <n v="-7.5814221366666672"/>
  </r>
  <r>
    <x v="142"/>
    <n v="0.18078137876885669"/>
    <n v="-0.18682287"/>
    <n v="-1.66612928"/>
    <n v="-16.12539507"/>
    <n v="0.18111975188746976"/>
    <n v="0.17781868951749344"/>
    <n v="0.21553768142303989"/>
    <x v="1"/>
    <x v="2"/>
    <n v="-5.9927824066666666"/>
  </r>
  <r>
    <x v="143"/>
    <n v="3.2946317132238309E-5"/>
    <n v="-1.1252502499999999"/>
    <n v="-3.2350313800000001"/>
    <n v="-12.330042949999999"/>
    <n v="3.3321264747108305E-5"/>
    <n v="3.1913892689164313E-5"/>
    <n v="3.7579939857217383E-5"/>
    <x v="1"/>
    <x v="4"/>
    <n v="-5.5634415266666659"/>
  </r>
  <r>
    <x v="144"/>
    <n v="1.0878052197084529"/>
    <n v="-1.2803058700000001"/>
    <n v="-4.9621749700000004"/>
    <n v="-29.672992520000001"/>
    <n v="1.1019130775222681"/>
    <n v="1.0363783143969401"/>
    <n v="1.5467816116273811"/>
    <x v="1"/>
    <x v="1"/>
    <n v="-11.971824453333333"/>
  </r>
  <r>
    <x v="145"/>
    <n v="1.768487281903786"/>
    <n v="-0.65919346000000001"/>
    <n v="-4.4452196400000004"/>
    <n v="-10.52813091"/>
    <n v="1.7802223914818902"/>
    <n v="1.6932199367279592"/>
    <n v="1.9765847074512992"/>
    <x v="1"/>
    <x v="1"/>
    <n v="-5.2108480033333331"/>
  </r>
  <r>
    <x v="146"/>
    <n v="0.17374038713260881"/>
    <n v="-0.88105624999999999"/>
    <n v="-7.1726874299999999"/>
    <n v="-21.326617110000001"/>
    <n v="0.17528474432780547"/>
    <n v="0.16211255992445614"/>
    <n v="0.22083757015448305"/>
    <x v="1"/>
    <x v="2"/>
    <n v="-9.7934535966666676"/>
  </r>
  <r>
    <x v="147"/>
    <n v="2.0156046346713148"/>
    <n v="-0.18041020999999999"/>
    <n v="-1.6806892499999999"/>
    <n v="-10.627753780000001"/>
    <n v="2.0192475634409384"/>
    <n v="1.9822885245354636"/>
    <n v="2.2552914578309622"/>
    <x v="1"/>
    <x v="1"/>
    <n v="-4.16295108"/>
  </r>
  <r>
    <x v="148"/>
    <n v="1.7982982244850749"/>
    <n v="-5.8316170000000001E-2"/>
    <n v="-0.28385463999999999"/>
    <n v="-5.3356169400000004"/>
    <n v="1.7993475350525068"/>
    <n v="1.7932081200315086"/>
    <n v="1.899656625180012"/>
    <x v="1"/>
    <x v="1"/>
    <n v="-1.8925959166666668"/>
  </r>
  <r>
    <x v="149"/>
    <n v="2.1201054641628829"/>
    <n v="-1.0625812299999999"/>
    <n v="-5.5714174200000004"/>
    <n v="-18.42418417"/>
    <n v="2.1428752543984357"/>
    <n v="2.0082191903594153"/>
    <n v="2.5989387204917187"/>
    <x v="1"/>
    <x v="1"/>
    <n v="-8.3527276066666669"/>
  </r>
  <r>
    <x v="150"/>
    <n v="0.32441720517861972"/>
    <n v="-0.76780797000000001"/>
    <n v="-4.9903437200000003"/>
    <n v="-6.7981445599999999"/>
    <n v="0.32692737965572854"/>
    <n v="0.3089971836303459"/>
    <n v="0.34808020038556831"/>
    <x v="1"/>
    <x v="2"/>
    <n v="-4.1854320833333327"/>
  </r>
  <r>
    <x v="151"/>
    <n v="8.1646937247078555E-2"/>
    <n v="-1.8436963799999999"/>
    <n v="-0.56430917000000003"/>
    <n v="29.771001510000001"/>
    <n v="8.3180533736442019E-2"/>
    <n v="8.1188781508017532E-2"/>
    <n v="6.291616485735986E-2"/>
    <x v="1"/>
    <x v="2"/>
    <n v="9.1209986533333343"/>
  </r>
  <r>
    <x v="152"/>
    <n v="15.783884537498979"/>
    <n v="-0.47865087000000001"/>
    <n v="-3.3450590600000001"/>
    <n v="-20.989555930000002"/>
    <n v="15.859797596675707"/>
    <n v="15.272993872242294"/>
    <n v="19.976959658035977"/>
    <x v="0"/>
    <x v="3"/>
    <n v="-8.2710886200000004"/>
  </r>
  <r>
    <x v="153"/>
    <n v="0.15327523176617691"/>
    <n v="-1.383006E-2"/>
    <n v="-4.2633531600000003"/>
    <n v="-12.02913139"/>
    <n v="0.15329643275480476"/>
    <n v="0.14700777130288961"/>
    <n v="0.17423407792605733"/>
    <x v="1"/>
    <x v="2"/>
    <n v="-5.4354382033333337"/>
  </r>
  <r>
    <x v="154"/>
    <n v="7.5406131355470767E-6"/>
    <n v="-0.11717548999999999"/>
    <n v="-3.63020012"/>
    <n v="-15.21838977"/>
    <n v="7.5494592514172755E-6"/>
    <n v="7.2764629681456965E-6"/>
    <n v="8.8941612633807092E-6"/>
    <x v="1"/>
    <x v="4"/>
    <n v="-6.3219217933333338"/>
  </r>
  <r>
    <x v="155"/>
    <n v="0.55623381267195138"/>
    <n v="-0.57804478999999998"/>
    <n v="-4.8870803699999996"/>
    <n v="-18.022391070000001"/>
    <n v="0.55946778706681943"/>
    <n v="0.53031680423344718"/>
    <n v="0.67851919558536378"/>
    <x v="1"/>
    <x v="1"/>
    <n v="-7.8291720766666666"/>
  </r>
  <r>
    <x v="156"/>
    <n v="0.80020308733296419"/>
    <n v="-3.0421150000000001E-2"/>
    <n v="-4.1968032900000001"/>
    <n v="-12.15333976"/>
    <n v="0.80044659239150551"/>
    <n v="0.76797278041807393"/>
    <n v="0.91090894650608545"/>
    <x v="1"/>
    <x v="1"/>
    <n v="-5.4601880666666665"/>
  </r>
  <r>
    <x v="157"/>
    <n v="0.3098016392189808"/>
    <n v="0.28441758"/>
    <n v="0.36953426"/>
    <n v="-8.4887523999999992"/>
    <n v="0.30892300787591692"/>
    <n v="0.31095070861904095"/>
    <n v="0.33853941165040002"/>
    <x v="1"/>
    <x v="2"/>
    <n v="-2.6116001866666667"/>
  </r>
  <r>
    <x v="158"/>
    <n v="7.8991473803992823E-2"/>
    <n v="-0.65450266999999995"/>
    <n v="-2.46813927"/>
    <n v="-17.360549970000001"/>
    <n v="7.9511881189344311E-2"/>
    <n v="7.7088814500527833E-2"/>
    <n v="9.5585672188424689E-2"/>
    <x v="1"/>
    <x v="2"/>
    <n v="-6.8277306366666677"/>
  </r>
  <r>
    <x v="159"/>
    <n v="0.38470679395441659"/>
    <n v="-0.46372714999999998"/>
    <n v="-3.9072646899999999"/>
    <n v="-15.389424460000001"/>
    <n v="0.38649909519333242"/>
    <n v="0.37024051696689564"/>
    <n v="0.45467932524882171"/>
    <x v="1"/>
    <x v="2"/>
    <n v="-6.5868054333333346"/>
  </r>
  <r>
    <x v="160"/>
    <n v="2.4943955189238701E-2"/>
    <n v="-0.74985007999999997"/>
    <n v="4.0761591199999998"/>
    <n v="39.838334240000002"/>
    <n v="2.5132410590154908E-2"/>
    <n v="2.6003916190598959E-2"/>
    <n v="1.783770904080436E-2"/>
    <x v="1"/>
    <x v="4"/>
    <n v="14.388214426666666"/>
  </r>
  <r>
    <x v="161"/>
    <n v="0.1987555900680133"/>
    <n v="2.1546008400000001"/>
    <n v="17.414140830000001"/>
    <n v="25.005032960000001"/>
    <n v="0.19456352277203345"/>
    <n v="0.24066540212275581"/>
    <n v="0.15899807020699119"/>
    <x v="1"/>
    <x v="2"/>
    <n v="14.857924876666667"/>
  </r>
  <r>
    <x v="162"/>
    <n v="7.9614882097461787E-2"/>
    <n v="-0.43750903000000002"/>
    <n v="-1.48046594"/>
    <n v="-15.03912966"/>
    <n v="7.996473503405134E-2"/>
    <n v="7.8453406140777712E-2"/>
    <n v="9.3707705416452999E-2"/>
    <x v="1"/>
    <x v="2"/>
    <n v="-5.6523682099999997"/>
  </r>
  <r>
    <x v="163"/>
    <n v="9.1660731536411702E-2"/>
    <n v="-0.67404125999999998"/>
    <n v="-3.4368599199999998"/>
    <n v="-18.72626064"/>
    <n v="9.2282755383561788E-2"/>
    <n v="8.8615152864562813E-2"/>
    <n v="0.11278025627737243"/>
    <x v="1"/>
    <x v="2"/>
    <n v="-7.6123872733333329"/>
  </r>
  <r>
    <x v="164"/>
    <n v="4.3952252473963576"/>
    <n v="-0.59176843999999995"/>
    <n v="-1.51093324"/>
    <n v="-10.47343326"/>
    <n v="4.421389635870872"/>
    <n v="4.3298047876329004"/>
    <n v="4.9094089134020082"/>
    <x v="1"/>
    <x v="1"/>
    <n v="-4.1920449799999995"/>
  </r>
  <r>
    <x v="165"/>
    <n v="0.24965021577169469"/>
    <n v="-0.80700512000000002"/>
    <n v="-5.1853119599999999"/>
    <n v="-14.907220560000001"/>
    <n v="0.25168129672232625"/>
    <n v="0.23734322893545437"/>
    <n v="0.29338589879735477"/>
    <x v="1"/>
    <x v="2"/>
    <n v="-6.9665125466666673"/>
  </r>
  <r>
    <x v="166"/>
    <n v="1.465401519593046E-3"/>
    <n v="-0.29649872999999999"/>
    <n v="-6.1215910600000001"/>
    <n v="-9.6269868299999999"/>
    <n v="1.4697593373623819E-3"/>
    <n v="1.3808702875219084E-3"/>
    <n v="1.6215034424452465E-3"/>
    <x v="1"/>
    <x v="4"/>
    <n v="-5.3483588733333329"/>
  </r>
  <r>
    <x v="167"/>
    <n v="7.617379771617562E-2"/>
    <n v="-0.50494739"/>
    <n v="-5.3136146799999997"/>
    <n v="-19.470310359999999"/>
    <n v="7.6560387394095999E-2"/>
    <n v="7.2330436997754766E-2"/>
    <n v="9.4590949073196526E-2"/>
    <x v="1"/>
    <x v="2"/>
    <n v="-8.4296241433333332"/>
  </r>
  <r>
    <x v="168"/>
    <n v="0.54798710920894866"/>
    <n v="-0.34559419000000002"/>
    <n v="18.6990765"/>
    <n v="24.469561070000001"/>
    <n v="0.54988748842046675"/>
    <n v="0.67402322829573846"/>
    <n v="0.44025792691658011"/>
    <x v="1"/>
    <x v="1"/>
    <n v="14.274347793333334"/>
  </r>
  <r>
    <x v="169"/>
    <n v="0.19158623221368209"/>
    <n v="-0.58965051999999996"/>
    <n v="-4.3881540499999998"/>
    <n v="-24.3715619"/>
    <n v="0.19272262215739078"/>
    <n v="0.18353254155822685"/>
    <n v="0.25332564975142874"/>
    <x v="1"/>
    <x v="2"/>
    <n v="-9.783122156666666"/>
  </r>
  <r>
    <x v="170"/>
    <n v="1.725591128156863"/>
    <n v="-1.0909356800000001"/>
    <n v="-7.7833494300000003"/>
    <n v="-32.208757519999999"/>
    <n v="1.7446238522427699"/>
    <n v="1.6009811694315081"/>
    <n v="2.5454484458902678"/>
    <x v="1"/>
    <x v="1"/>
    <n v="-13.694347543333334"/>
  </r>
  <r>
    <x v="171"/>
    <n v="2.2742572865102808"/>
    <n v="-0.64899061999999996"/>
    <n v="-3.1837672800000001"/>
    <n v="-13.7947562"/>
    <n v="2.2891134178734407"/>
    <n v="2.2040843695296028"/>
    <n v="2.6381890315009828"/>
    <x v="1"/>
    <x v="1"/>
    <n v="-5.8758380333333333"/>
  </r>
  <r>
    <x v="172"/>
    <n v="0.11488063780185161"/>
    <n v="-0.94776523000000001"/>
    <n v="-2.9592297799999998"/>
    <n v="-8.6120451500000001"/>
    <n v="0.11597985453695746"/>
    <n v="0.11157876573797695"/>
    <n v="0.12570654195119196"/>
    <x v="1"/>
    <x v="2"/>
    <n v="-4.1730133866666668"/>
  </r>
  <r>
    <x v="173"/>
    <n v="3.8922620302878512E-2"/>
    <n v="-0.81956326999999995"/>
    <n v="-4.6498505899999998"/>
    <n v="-23.213347389999999"/>
    <n v="3.9244251776021102E-2"/>
    <n v="3.7193192425444159E-2"/>
    <n v="5.0689304690187245E-2"/>
    <x v="1"/>
    <x v="4"/>
    <n v="-9.5609204166666668"/>
  </r>
  <r>
    <x v="174"/>
    <n v="2.2617823571604739E-3"/>
    <n v="-0.83132030000000001"/>
    <n v="-3.3277802200000002"/>
    <n v="-12.568440669999999"/>
    <n v="2.280742633664885E-3"/>
    <n v="2.1889392691344066E-3"/>
    <n v="2.5869175552773183E-3"/>
    <x v="1"/>
    <x v="4"/>
    <n v="-5.5758470633333337"/>
  </r>
  <r>
    <x v="175"/>
    <n v="5.038871678878766E-2"/>
    <n v="0.22261465"/>
    <n v="0.11264246999999999"/>
    <n v="-2.5777676600000001"/>
    <n v="5.0276793281393062E-2"/>
    <n v="5.0445539890925636E-2"/>
    <n v="5.1721989507418485E-2"/>
    <x v="1"/>
    <x v="2"/>
    <n v="-0.74750351333333331"/>
  </r>
  <r>
    <x v="176"/>
    <n v="2.8072515600276841E-2"/>
    <n v="-0.54396643"/>
    <n v="-4.2777896399999999"/>
    <n v="-16.581099030000001"/>
    <n v="2.82260558687157E-2"/>
    <n v="2.6920896287878814E-2"/>
    <n v="3.3652463978604295E-2"/>
    <x v="1"/>
    <x v="4"/>
    <n v="-7.1342850333333336"/>
  </r>
  <r>
    <x v="177"/>
    <n v="2.2832868893819129E-2"/>
    <n v="-0.55924125999999996"/>
    <n v="-3.8721852700000001"/>
    <n v="-25.0641006"/>
    <n v="2.2961277833286099E-2"/>
    <n v="2.1981696865689838E-2"/>
    <n v="3.0469867015193424E-2"/>
    <x v="1"/>
    <x v="4"/>
    <n v="-9.8318423766666658"/>
  </r>
  <r>
    <x v="178"/>
    <n v="0.51117848383120101"/>
    <n v="-0.80752537000000002"/>
    <n v="-3.25540823"/>
    <n v="-16.780530989999999"/>
    <n v="0.51533998495143807"/>
    <n v="0.49506218859990175"/>
    <n v="0.61425347927871976"/>
    <x v="1"/>
    <x v="1"/>
    <n v="-6.9478215299999997"/>
  </r>
  <r>
    <x v="179"/>
    <n v="0.12855022691829721"/>
    <n v="-0.71343670000000003"/>
    <n v="-7.0811340100000004"/>
    <n v="-24.77081652"/>
    <n v="0.1294739415341383"/>
    <n v="0.12004937014048829"/>
    <n v="0.17087813661100393"/>
    <x v="1"/>
    <x v="2"/>
    <n v="-10.855129076666666"/>
  </r>
  <r>
    <x v="180"/>
    <n v="0.32363734096489311"/>
    <n v="-1.03446178"/>
    <n v="2.0784616699999998"/>
    <n v="-8.3459818699999992"/>
    <n v="0.3270202403643262"/>
    <n v="0.3305067980797245"/>
    <n v="0.35310764063377248"/>
    <x v="1"/>
    <x v="2"/>
    <n v="-2.433993993333333"/>
  </r>
  <r>
    <x v="181"/>
    <n v="2941.1659436321361"/>
    <n v="-0.39275048000000001"/>
    <n v="-2.4905083100000001"/>
    <n v="1.8808747800000001"/>
    <n v="2952.762934229585"/>
    <n v="2869.695928071777"/>
    <n v="2886.8675793992193"/>
    <x v="0"/>
    <x v="0"/>
    <n v="-0.33412800333333337"/>
  </r>
  <r>
    <x v="182"/>
    <n v="1.4105105216837339E-2"/>
    <n v="-0.15835252"/>
    <n v="-1.6455503199999999"/>
    <n v="-10.00443873"/>
    <n v="1.412747643177947E-2"/>
    <n v="1.3876756210608059E-2"/>
    <n v="1.5673112115518605E-2"/>
    <x v="1"/>
    <x v="4"/>
    <n v="-3.9361138566666667"/>
  </r>
  <r>
    <x v="183"/>
    <n v="0.23146991123608129"/>
    <n v="0.38769262999999998"/>
    <n v="-5.7601894700000003"/>
    <n v="-21.579032720000001"/>
    <n v="0.23057598513516236"/>
    <n v="0.21886298842320073"/>
    <n v="0.2951632953080317"/>
    <x v="1"/>
    <x v="2"/>
    <n v="-8.9838431866666664"/>
  </r>
  <r>
    <x v="184"/>
    <n v="0.20149573956724109"/>
    <n v="-0.64318803999999996"/>
    <n v="-2.7135495000000001"/>
    <n v="-13.972921149999999"/>
    <n v="0.20280012572098341"/>
    <n v="0.19617250163011948"/>
    <n v="0.23422362151640244"/>
    <x v="1"/>
    <x v="2"/>
    <n v="-5.7765528966666659"/>
  </r>
  <r>
    <x v="185"/>
    <n v="0.3335368083799185"/>
    <n v="-0.26725303"/>
    <n v="1.1933657499999999"/>
    <n v="1.1570747400000001"/>
    <n v="0.33443058424957217"/>
    <n v="0.33756519581064315"/>
    <n v="0.32972168208421893"/>
    <x v="1"/>
    <x v="2"/>
    <n v="0.69439582"/>
  </r>
  <r>
    <x v="186"/>
    <n v="5.6198122555933363"/>
    <n v="-0.60727977"/>
    <n v="-3.6711571200000002"/>
    <n v="-19.171094020000002"/>
    <n v="5.6541487571612832"/>
    <n v="5.4208059519277576"/>
    <n v="6.9527258688666178"/>
    <x v="0"/>
    <x v="3"/>
    <n v="-7.8165103033333336"/>
  </r>
  <r>
    <x v="187"/>
    <n v="0.1765475950901757"/>
    <n v="0.20469860000000001"/>
    <n v="-0.26453019"/>
    <n v="6.7054540500000002"/>
    <n v="0.1761869428847079"/>
    <n v="0.17608180555538464"/>
    <n v="0.16545320636323715"/>
    <x v="1"/>
    <x v="2"/>
    <n v="2.2152074866666669"/>
  </r>
  <r>
    <x v="188"/>
    <n v="1.50795046282055"/>
    <n v="-0.97119021000000005"/>
    <n v="-3.8862638500000002"/>
    <n v="-20.693127759999999"/>
    <n v="1.5227391564316508"/>
    <n v="1.4515397964430214"/>
    <n v="1.9014120973743118"/>
    <x v="1"/>
    <x v="1"/>
    <n v="-8.5168606066666666"/>
  </r>
  <r>
    <x v="189"/>
    <n v="1.814308837704004E-2"/>
    <n v="-0.49608153999999999"/>
    <n v="-3.77698701"/>
    <n v="-24.104583330000001"/>
    <n v="1.8233541611060732E-2"/>
    <n v="1.7482766555259273E-2"/>
    <n v="2.3905380816245859E-2"/>
    <x v="1"/>
    <x v="4"/>
    <n v="-9.4592172933333334"/>
  </r>
  <r>
    <x v="190"/>
    <n v="9.563178427870074E-2"/>
    <n v="-0.57387142999999996"/>
    <n v="-4.2965389500000004"/>
    <n v="-31.822555059999999"/>
    <n v="9.6183755371076429E-2"/>
    <n v="9.1692193472064157E-2"/>
    <n v="0.14026894724914099"/>
    <x v="1"/>
    <x v="2"/>
    <n v="-12.230988480000001"/>
  </r>
  <r>
    <x v="191"/>
    <n v="9.5331614107403543E-4"/>
    <n v="-1.1513671299999999"/>
    <n v="-2.8524219500000001"/>
    <n v="-8.7971160099999999"/>
    <n v="9.6442015776564323E-4"/>
    <n v="9.2687767871667064E-4"/>
    <n v="1.0452697320169858E-3"/>
    <x v="1"/>
    <x v="4"/>
    <n v="-4.2669683633333335"/>
  </r>
  <r>
    <x v="192"/>
    <n v="1.251854592533524E-2"/>
    <n v="-2.3624131300000002"/>
    <n v="-3.5429164399999999"/>
    <n v="-25.012427970000001"/>
    <n v="1.2821441338982612E-2"/>
    <n v="1.2090200233629077E-2"/>
    <n v="1.6694160894190565E-2"/>
    <x v="1"/>
    <x v="4"/>
    <n v="-10.30591918"/>
  </r>
  <r>
    <x v="193"/>
    <n v="0.27188651853307949"/>
    <n v="-0.20836231999999999"/>
    <n v="-4.2218116800000001"/>
    <n v="-19.0919703"/>
    <n v="0.27245421044690432"/>
    <n v="0.26087295370365748"/>
    <n v="0.33604392486284895"/>
    <x v="1"/>
    <x v="2"/>
    <n v="-7.8407147666666672"/>
  </r>
  <r>
    <x v="194"/>
    <n v="0.87606354623172922"/>
    <n v="-7.864989E-2"/>
    <n v="-2.0550774399999998"/>
    <n v="-18.665611800000001"/>
    <n v="0.87675311158956604"/>
    <n v="0.85842230313997125"/>
    <n v="1.0771133411337681"/>
    <x v="1"/>
    <x v="1"/>
    <n v="-6.933113043333333"/>
  </r>
  <r>
    <x v="195"/>
    <n v="1.4713716835425489E-3"/>
    <n v="-0.88965097999999998"/>
    <n v="-6.73850646"/>
    <n v="-20.671187759999999"/>
    <n v="1.4845792574553773E-3"/>
    <n v="1.3784825479958743E-3"/>
    <n v="1.8547758903676595E-3"/>
    <x v="1"/>
    <x v="4"/>
    <n v="-9.4331150666666659"/>
  </r>
  <r>
    <x v="196"/>
    <n v="5.5400490078877356E-3"/>
    <n v="-0.82290328000000001"/>
    <n v="-4.4748505400000003"/>
    <n v="-4.9732629700000004"/>
    <n v="5.5860165210608872E-3"/>
    <n v="5.3027584909218243E-3"/>
    <n v="5.8299897281948541E-3"/>
    <x v="1"/>
    <x v="4"/>
    <n v="-3.4236722633333336"/>
  </r>
  <r>
    <x v="197"/>
    <n v="2.7072134353621519E-2"/>
    <n v="-0.49439527"/>
    <n v="-3.6943980500000002"/>
    <n v="-8.8951768999999992"/>
    <n v="2.7206642708297139E-2"/>
    <n v="2.6107615129380191E-2"/>
    <n v="2.9715368991942555E-2"/>
    <x v="1"/>
    <x v="4"/>
    <n v="-4.3613234066666662"/>
  </r>
  <r>
    <x v="198"/>
    <n v="2.0375481287163329E-2"/>
    <n v="-0.95031993999999997"/>
    <n v="-1.9194185399999999"/>
    <n v="-24.950897439999999"/>
    <n v="2.0570971329559817E-2"/>
    <n v="1.9991755819492463E-2"/>
    <n v="2.714953356154207E-2"/>
    <x v="1"/>
    <x v="4"/>
    <n v="-9.2735453066666658"/>
  </r>
  <r>
    <x v="199"/>
    <n v="0.1206022889616909"/>
    <n v="-0.25492337999999998"/>
    <n v="-2.2841704900000002"/>
    <n v="-17.900708330000001"/>
    <n v="0.12091051814131225"/>
    <n v="0.11790904534292704"/>
    <n v="0.1468980870705372"/>
    <x v="1"/>
    <x v="2"/>
    <n v="-6.8132674000000009"/>
  </r>
</pivotCacheRecords>
</file>

<file path=xl/pivotCache/pivotCacheRecords2.xml><?xml version="1.0" encoding="utf-8"?>
<pivotCacheRecords xmlns="http://schemas.openxmlformats.org/spreadsheetml/2006/main" xmlns:r="http://schemas.openxmlformats.org/officeDocument/2006/relationships" count="200">
  <r>
    <x v="0"/>
    <x v="0"/>
    <n v="82567.315574975291"/>
    <n v="-0.1125322"/>
    <n v="-6.4253689500000002"/>
    <n v="1649877108686.1648"/>
    <n v="79431371927.590775"/>
    <n v="19982206"/>
    <n v="3975.1052475182555"/>
    <n v="1"/>
    <x v="0"/>
    <n v="82660.335068555316"/>
    <n v="-93.019493580024573"/>
    <s v="&gt;=10"/>
    <s v="&gt;50"/>
    <s v="Bitcoin"/>
    <x v="0"/>
    <s v="&gt; 50"/>
    <n v="549965696964.01746"/>
  </r>
  <r>
    <x v="1"/>
    <x v="1"/>
    <n v="2721.2855990224457"/>
    <n v="-0.48012495999999999"/>
    <n v="-7.8926658700000001"/>
    <n v="328443547573.03168"/>
    <n v="44450877161.72728"/>
    <n v="120694258.51186545"/>
    <n v="368.29322048784377"/>
    <n v="2"/>
    <x v="1"/>
    <n v="2734.4142041262412"/>
    <n v="-13.128605103795508"/>
    <s v="&gt;=10"/>
    <s v="&gt;50"/>
    <s v="Ethereum"/>
    <x v="0"/>
    <s v="&gt; 50"/>
    <n v="109521413943.68781"/>
  </r>
  <r>
    <x v="2"/>
    <x v="2"/>
    <n v="0.99835009693143706"/>
    <n v="9.1576599999999998E-3"/>
    <n v="-3.57581E-3"/>
    <n v="185541095501.96741"/>
    <n v="146962642926.80096"/>
    <n v="185847726235.76926"/>
    <n v="0.79076911998569155"/>
    <n v="3"/>
    <x v="2"/>
    <n v="0.99825867979562088"/>
    <n v="9.1417135816174167E-5"/>
    <s v="&lt;10"/>
    <s v="0-50"/>
    <s v="Tether USDt"/>
    <x v="1"/>
    <s v="&gt; 50"/>
    <n v="123796273912.58195"/>
  </r>
  <r>
    <x v="3"/>
    <x v="3"/>
    <n v="840.16680829514985"/>
    <n v="-0.63475939000000003"/>
    <n v="-6.78413646"/>
    <n v="114565293344.38481"/>
    <n v="4383074905.1874456"/>
    <n v="136360175.40000001"/>
    <n v="32.143365116171928"/>
    <n v="4"/>
    <x v="1"/>
    <n v="845.53391421124024"/>
    <n v="-5.3671059160903951"/>
    <s v="&gt;=10"/>
    <s v="&gt;50"/>
    <s v="BNB"/>
    <x v="0"/>
    <s v="&gt; 50"/>
    <n v="38233884506.383347"/>
  </r>
  <r>
    <x v="4"/>
    <x v="4"/>
    <n v="1.739230493484252"/>
    <n v="-0.92487492999999998"/>
    <n v="-7.6581250499999998"/>
    <n v="105837799045.08362"/>
    <n v="5464903595.5785408"/>
    <n v="60853233336"/>
    <n v="8.9804654510372145E-2"/>
    <n v="5"/>
    <x v="3"/>
    <n v="1.7554663617688349"/>
    <n v="-1.6235868284582899E-2"/>
    <s v="&lt;10"/>
    <s v="0-50"/>
    <s v="XRP"/>
    <x v="1"/>
    <s v="&gt; 50"/>
    <n v="55563677460.052917"/>
  </r>
  <r>
    <x v="5"/>
    <x v="5"/>
    <n v="0.99961874710505583"/>
    <n v="-2.1987600000000001E-3"/>
    <n v="-5.4388300000000004E-3"/>
    <n v="70177276643.161545"/>
    <n v="17960088237.617249"/>
    <n v="70204042137.463242"/>
    <n v="0.25582698219071837"/>
    <n v="6"/>
    <x v="2"/>
    <n v="0.99964072680550053"/>
    <n v="-2.1979700444707539E-5"/>
    <s v="&lt;10"/>
    <s v="0-50"/>
    <s v="Others"/>
    <x v="0"/>
    <s v="&gt; 50"/>
    <n v="46793772926.874199"/>
  </r>
  <r>
    <x v="6"/>
    <x v="6"/>
    <n v="113.99156631741066"/>
    <n v="-0.87650912999999997"/>
    <n v="-7.7958635000000003"/>
    <n v="64540866308.955681"/>
    <n v="7375324263.619132"/>
    <n v="566189836.61686862"/>
    <n v="13.026239233979561"/>
    <n v="7"/>
    <x v="1"/>
    <n v="114.99954785380801"/>
    <n v="-1.0079815363973523"/>
    <s v="&gt;=10"/>
    <s v="&gt;50"/>
    <s v="Others"/>
    <x v="1"/>
    <s v="&gt; 50"/>
    <n v="21702352048.232014"/>
  </r>
  <r>
    <x v="7"/>
    <x v="7"/>
    <n v="0.29089056752824666"/>
    <n v="-0.29139744000000001"/>
    <n v="-0.98432903999999999"/>
    <n v="27552158283.603786"/>
    <n v="786816172.72069836"/>
    <n v="94716575094.613068"/>
    <n v="8.3070589486026278E-3"/>
    <n v="8"/>
    <x v="4"/>
    <n v="0.29174069243744766"/>
    <n v="-8.5012490920099992E-4"/>
    <s v="&lt;10"/>
    <s v="0-50"/>
    <s v="Others"/>
    <x v="1"/>
    <s v="&gt; 50"/>
    <n v="40756244459.308487"/>
  </r>
  <r>
    <x v="8"/>
    <x v="8"/>
    <n v="0.11296624772353477"/>
    <n v="-1.2505180600000001"/>
    <n v="-7.4385538699999998"/>
    <n v="19038047318.285839"/>
    <n v="2006479617.2378588"/>
    <n v="168528633126.57907"/>
    <n v="1.1905867744923944E-2"/>
    <n v="9"/>
    <x v="4"/>
    <n v="0.11439680037225193"/>
    <n v="-1.4305526487171649E-3"/>
    <s v="&lt;10"/>
    <s v="0-50"/>
    <s v="Others"/>
    <x v="0"/>
    <s v="&gt; 50"/>
    <n v="62522226814.538124"/>
  </r>
  <r>
    <x v="9"/>
    <x v="9"/>
    <n v="0.32187970961639667"/>
    <n v="-1.16377815"/>
    <n v="-8.4488316099999992"/>
    <n v="11602513435.639847"/>
    <n v="794079261.17402697"/>
    <n v="36046116263.330971"/>
    <n v="2.2029537256468008E-2"/>
    <n v="10"/>
    <x v="4"/>
    <n v="0.32566978339671998"/>
    <n v="-3.7900737803233109E-3"/>
    <s v="&lt;10"/>
    <s v="0-50"/>
    <s v="Others"/>
    <x v="0"/>
    <s v="&gt; 50"/>
    <n v="15882876565.935678"/>
  </r>
  <r>
    <x v="10"/>
    <x v="10"/>
    <n v="542.21372185740256"/>
    <n v="-0.55072155"/>
    <n v="-6.27941781"/>
    <n v="10837630624.637417"/>
    <n v="530946324.44768906"/>
    <n v="19987746.875"/>
    <n v="26.563590572170934"/>
    <n v="11"/>
    <x v="1"/>
    <n v="545.21634576766758"/>
    <n v="-3.0026239102650152"/>
    <s v="&gt;=10"/>
    <s v="&gt;50"/>
    <s v="Others"/>
    <x v="0"/>
    <s v="&gt; 50"/>
    <n v="3619206123.6538982"/>
  </r>
  <r>
    <x v="11"/>
    <x v="11"/>
    <n v="28.707625974095933"/>
    <n v="-1.32833928"/>
    <n v="-12.142328920000001"/>
    <n v="8671766921.5311279"/>
    <n v="787525269.73610806"/>
    <n v="302071893"/>
    <n v="2.6070789371194758"/>
    <n v="12"/>
    <x v="5"/>
    <n v="29.094094256262085"/>
    <n v="-0.38646828216615248"/>
    <s v="&gt;=10"/>
    <s v="0-50"/>
    <s v="Others"/>
    <x v="1"/>
    <s v="&gt; 50"/>
    <n v="2991279604.4009299"/>
  </r>
  <r>
    <x v="12"/>
    <x v="12"/>
    <n v="9.2054699542376568"/>
    <n v="-5.6401519999999997E-2"/>
    <n v="-3.7714100000000002E-3"/>
    <n v="8484618819.3623934"/>
    <n v="872988.87101453997"/>
    <n v="921693173.89999998"/>
    <n v="9.4715779148132841E-4"/>
    <n v="13"/>
    <x v="6"/>
    <n v="9.2106649092485799"/>
    <n v="-5.1949550109231524E-3"/>
    <s v="&lt;10"/>
    <s v="0-50"/>
    <s v="Others"/>
    <x v="0"/>
    <s v="&gt; 50"/>
    <n v="3135437331.0686641"/>
  </r>
  <r>
    <x v="13"/>
    <x v="13"/>
    <n v="429.43237490085437"/>
    <n v="-2.24967512"/>
    <n v="-9.4307293399999992"/>
    <n v="7921629116.7613535"/>
    <n v="121732959.29968712"/>
    <n v="18446744.073709551"/>
    <n v="6.5991569467905133"/>
    <n v="14"/>
    <x v="1"/>
    <n v="439.31554747059209"/>
    <n v="-9.8831725697377237"/>
    <s v="&gt;=10"/>
    <s v="&gt;50"/>
    <s v="Others"/>
    <x v="1"/>
    <s v="&gt; 50"/>
    <n v="2646691952.8617959"/>
  </r>
  <r>
    <x v="14"/>
    <x v="14"/>
    <n v="10.722927996948924"/>
    <n v="-1.31349626"/>
    <n v="-7.7723414200000001"/>
    <n v="7592904997.8047466"/>
    <n v="621800583.81138194"/>
    <n v="708099970.45258665"/>
    <n v="0.87812541979623882"/>
    <n v="15"/>
    <x v="5"/>
    <n v="10.8656478754173"/>
    <n v="-0.14271987846837675"/>
    <s v="&gt;=10"/>
    <s v="0-50"/>
    <s v="Others"/>
    <x v="0"/>
    <s v="&gt; 50"/>
    <n v="2767001655.6479454"/>
  </r>
  <r>
    <x v="15"/>
    <x v="15"/>
    <n v="0.99831600523004727"/>
    <n v="1.5742E-3"/>
    <n v="-3.4881229999999999E-2"/>
    <n v="6573580022.2279043"/>
    <n v="145060672.14089808"/>
    <n v="6584668569.6610861"/>
    <n v="2.2030064323854705E-2"/>
    <n v="16"/>
    <x v="2"/>
    <n v="0.99830028998688236"/>
    <n v="1.5715243164904358E-5"/>
    <s v="&lt;10"/>
    <s v="0-50"/>
    <s v="Others"/>
    <x v="0"/>
    <s v="&gt; 50"/>
    <n v="4386082863.963521"/>
  </r>
  <r>
    <x v="16"/>
    <x v="16"/>
    <n v="0.17248663983403223"/>
    <n v="0.16308017"/>
    <n v="6.20692442"/>
    <n v="6482504382.7925444"/>
    <n v="45347434.175385393"/>
    <n v="37582646337.305038"/>
    <n v="1.2066056702977012E-3"/>
    <n v="17"/>
    <x v="4"/>
    <n v="0.17220580631234819"/>
    <n v="2.8083352168403741E-4"/>
    <s v="&lt;10"/>
    <s v="0-50"/>
    <s v="Others"/>
    <x v="0"/>
    <s v="&gt; 50"/>
    <n v="14688383573.420221"/>
  </r>
  <r>
    <x v="17"/>
    <x v="17"/>
    <n v="0.19217494486535358"/>
    <n v="-1.0344722200000001"/>
    <n v="-6.8428694400000003"/>
    <n v="6248281132.9549789"/>
    <n v="202528047.55254573"/>
    <n v="32513505531.810123"/>
    <n v="6.2290437232121612E-3"/>
    <n v="18"/>
    <x v="4"/>
    <n v="0.19418372152024266"/>
    <n v="-2.0087766548890773E-3"/>
    <s v="&lt;10"/>
    <s v="0-50"/>
    <s v="Others"/>
    <x v="1"/>
    <s v="&gt; 50"/>
    <n v="12920595554.576876"/>
  </r>
  <r>
    <x v="18"/>
    <x v="18"/>
    <n v="332.53905684042877"/>
    <n v="-1.2621039300000001"/>
    <n v="-8.9736576400000008"/>
    <n v="5490407019.8398275"/>
    <n v="477191041.44196737"/>
    <n v="16510562.9155448"/>
    <n v="28.90216668461915"/>
    <n v="19"/>
    <x v="1"/>
    <n v="336.78969278895306"/>
    <n v="-4.2506359485242911"/>
    <s v="&gt;=10"/>
    <s v="&gt;50"/>
    <s v="Others"/>
    <x v="1"/>
    <s v="&gt; 50"/>
    <n v="1835639193.8310893"/>
  </r>
  <r>
    <x v="19"/>
    <x v="19"/>
    <n v="0.99966163695746524"/>
    <n v="1.0246740000000001E-2"/>
    <n v="-4.3747400000000002E-3"/>
    <n v="5363567255.449235"/>
    <n v="185735476.12897056"/>
    <n v="5365382702.6648722"/>
    <n v="3.4617377067384152E-2"/>
    <n v="20"/>
    <x v="2"/>
    <n v="0.99955921472358644"/>
    <n v="1.0242223387879612E-4"/>
    <s v="&lt;10"/>
    <s v="0-50"/>
    <s v="Others"/>
    <x v="0"/>
    <s v="&gt; 50"/>
    <n v="3576316652.708118"/>
  </r>
  <r>
    <x v="20"/>
    <x v="20"/>
    <n v="0.99906645904396674"/>
    <n v="1.8346680000000001E-2"/>
    <n v="-4.6583199999999998E-2"/>
    <n v="5041556524.3867598"/>
    <n v="2331998634.426074"/>
    <n v="5046267421.7000132"/>
    <n v="0.46212347455031583"/>
    <n v="21"/>
    <x v="2"/>
    <n v="0.99888319714021367"/>
    <n v="1.8326190375306251E-4"/>
    <s v="&lt;10"/>
    <s v="0-50"/>
    <s v="Others"/>
    <x v="1"/>
    <s v="&gt; 50"/>
    <n v="3362607982.0350399"/>
  </r>
  <r>
    <x v="21"/>
    <x v="21"/>
    <n v="63.628076463270027"/>
    <n v="-0.80887056999999996"/>
    <n v="-6.8295799400000003"/>
    <n v="4886087208.7486315"/>
    <n v="558188942.30337179"/>
    <n v="76791370.733471349"/>
    <n v="7.2689019218154396"/>
    <n v="22"/>
    <x v="5"/>
    <n v="64.146942200283021"/>
    <n v="-0.51886573701299454"/>
    <s v="&gt;=10"/>
    <s v="&gt;50"/>
    <s v="Others"/>
    <x v="1"/>
    <s v="&gt; 50"/>
    <n v="1654292859.557744"/>
  </r>
  <r>
    <x v="22"/>
    <x v="22"/>
    <n v="1.2751612129412626"/>
    <n v="-1.26078607"/>
    <n v="-6.7898716600000002"/>
    <n v="4835644769.3239975"/>
    <n v="1182653618.2361476"/>
    <n v="3792183074.7738876"/>
    <n v="0.31186617178461629"/>
    <n v="23"/>
    <x v="3"/>
    <n v="1.2914435533639887"/>
    <n v="-1.6282340422726138E-2"/>
    <s v="&lt;10"/>
    <s v="0-50"/>
    <s v="Others"/>
    <x v="1"/>
    <s v="&gt; 50"/>
    <n v="2875942614.2790332"/>
  </r>
  <r>
    <x v="23"/>
    <x v="23"/>
    <n v="10.804692530436915"/>
    <n v="-1.06953023"/>
    <n v="-8.7106274700000004"/>
    <n v="4660404149.1632576"/>
    <n v="587970856.55168056"/>
    <n v="431331491.94526893"/>
    <n v="1.3631530911410645"/>
    <n v="24"/>
    <x v="5"/>
    <n v="10.921501288284963"/>
    <n v="-0.11680875784804812"/>
    <s v="&gt;=10"/>
    <s v="0-50"/>
    <s v="Others"/>
    <x v="0"/>
    <s v="&gt; 50"/>
    <n v="1697245213.3463318"/>
  </r>
  <r>
    <x v="24"/>
    <x v="24"/>
    <n v="7.1553727606035919E-6"/>
    <n v="-0.97172305000000003"/>
    <n v="-5.9532382300000002"/>
    <n v="4216259847.747035"/>
    <n v="149956713.40547603"/>
    <n v="589243913463338.87"/>
    <n v="2.544900506890105E-7"/>
    <n v="25"/>
    <x v="4"/>
    <n v="7.2255854398197637E-6"/>
    <n v="-7.0212679216171829E-8"/>
    <s v="&lt;10"/>
    <s v="0-50"/>
    <s v="Others"/>
    <x v="1"/>
    <s v="&gt; 50"/>
    <n v="196416043241061.87"/>
  </r>
  <r>
    <x v="25"/>
    <x v="25"/>
    <n v="9.8019395124406605E-2"/>
    <n v="-1.10442855"/>
    <n v="-6.1416891400000004"/>
    <n v="4215141641.1495562"/>
    <n v="198951915.94573158"/>
    <n v="43003138672.705353"/>
    <n v="4.6264510472117919E-3"/>
    <n v="26"/>
    <x v="4"/>
    <n v="9.9114038866708637E-2"/>
    <n v="-1.0946437423020317E-3"/>
    <s v="&lt;10"/>
    <s v="0-50"/>
    <s v="Others"/>
    <x v="1"/>
    <s v="&gt; 50"/>
    <n v="15739426770.916826"/>
  </r>
  <r>
    <x v="26"/>
    <x v="26"/>
    <n v="0.14912587329384733"/>
    <n v="-0.92924178999999996"/>
    <n v="-7.3389622599999997"/>
    <n v="3987945490.2129321"/>
    <n v="166855821.18957743"/>
    <n v="26742143413"/>
    <n v="6.2394333398296262E-3"/>
    <n v="27"/>
    <x v="4"/>
    <n v="0.15052461088240149"/>
    <n v="-1.3987375885541609E-3"/>
    <s v="&lt;10"/>
    <s v="0-50"/>
    <s v="Others"/>
    <x v="1"/>
    <s v="&gt; 50"/>
    <n v="10243362967.427896"/>
  </r>
  <r>
    <x v="27"/>
    <x v="27"/>
    <n v="0.99941328482298608"/>
    <n v="-1.02753E-3"/>
    <n v="-1.4481279999999999E-2"/>
    <n v="3645902738.7535954"/>
    <n v="177322908.4034037"/>
    <n v="3648043101.0073571"/>
    <n v="4.8607679101828158E-2"/>
    <n v="28"/>
    <x v="2"/>
    <n v="0.99942355419983253"/>
    <n v="-1.0269376846450129E-5"/>
    <s v="&lt;10"/>
    <s v="0-50"/>
    <s v="Others"/>
    <x v="1"/>
    <s v="&gt; 50"/>
    <n v="2431315279.9199748"/>
  </r>
  <r>
    <x v="28"/>
    <x v="28"/>
    <n v="1.4214512184724701"/>
    <n v="-0.19673945000000001"/>
    <n v="-5.8009905599999998"/>
    <n v="3462720252.6796341"/>
    <n v="132542144.10425596"/>
    <n v="2436045787.3473611"/>
    <n v="5.4408724496341529E-2"/>
    <n v="29"/>
    <x v="3"/>
    <n v="1.4242532865550455"/>
    <n v="-2.8020680825753264E-3"/>
    <s v="&lt;10"/>
    <s v="0-50"/>
    <s v="Others"/>
    <x v="1"/>
    <s v="&gt; 50"/>
    <n v="1966255346.6100852"/>
  </r>
  <r>
    <x v="29"/>
    <x v="29"/>
    <n v="8.5166522274066042E-2"/>
    <n v="-0.61309035999999995"/>
    <n v="-5.1529342299999996"/>
    <n v="3391509098.8651314"/>
    <n v="25894571.42364677"/>
    <n v="39822092159.067482"/>
    <n v="6.5025642852244224E-4"/>
    <n v="30"/>
    <x v="4"/>
    <n v="8.5691890997070794E-2"/>
    <n v="-5.2536872300475157E-4"/>
    <s v="&lt;10"/>
    <s v="0-50"/>
    <s v="Others"/>
    <x v="0"/>
    <s v="&gt; 50"/>
    <n v="14404533752.43984"/>
  </r>
  <r>
    <x v="30"/>
    <x v="30"/>
    <n v="1.6895244314177511"/>
    <n v="-0.99110313999999999"/>
    <n v="-6.86599833"/>
    <n v="2805140344.9874568"/>
    <n v="190294121.61498991"/>
    <n v="1660313572.7570069"/>
    <n v="0.1146133626426965"/>
    <n v="31"/>
    <x v="3"/>
    <n v="1.7064369819277585"/>
    <n v="-1.6912550510007396E-2"/>
    <s v="&lt;10"/>
    <s v="0-50"/>
    <s v="Others"/>
    <x v="1"/>
    <s v="&gt; 50"/>
    <n v="1488484638.9177868"/>
  </r>
  <r>
    <x v="31"/>
    <x v="31"/>
    <n v="4.209083180004229"/>
    <n v="-1.3550407900000001"/>
    <n v="-11.22011942"/>
    <n v="2672126198.2250304"/>
    <n v="275334584.61919898"/>
    <n v="634847562.74698889"/>
    <n v="0.43370188494986844"/>
    <n v="32"/>
    <x v="6"/>
    <n v="4.2669014349164422"/>
    <n v="-5.7818254912213263E-2"/>
    <s v="&lt;10"/>
    <s v="0-50"/>
    <s v="Others"/>
    <x v="0"/>
    <s v="&gt; 50"/>
    <n v="1102324586.5389926"/>
  </r>
  <r>
    <x v="32"/>
    <x v="32"/>
    <n v="0.78107618220036834"/>
    <n v="-2.7072445699999999"/>
    <n v="-13.44298972"/>
    <n v="2540797123.888206"/>
    <n v="94181021.624318466"/>
    <n v="3252944055.6368408"/>
    <n v="2.8952548833761083E-2"/>
    <n v="33"/>
    <x v="2"/>
    <n v="0.80281021824110588"/>
    <n v="-2.1734036040737537E-2"/>
    <s v="&lt;10"/>
    <s v="0-50"/>
    <s v="Others"/>
    <x v="1"/>
    <s v="&gt; 50"/>
    <n v="1931247058.9392674"/>
  </r>
  <r>
    <x v="33"/>
    <x v="33"/>
    <n v="5149.8853435497267"/>
    <n v="-0.76892340000000003"/>
    <n v="-7.6446363699999997"/>
    <n v="2490781400.2866549"/>
    <n v="1956793815.1409867"/>
    <n v="483657.64169999998"/>
    <n v="4045.8242492832028"/>
    <n v="34"/>
    <x v="1"/>
    <n v="5189.7908598824242"/>
    <n v="-39.905516332697516"/>
    <s v="&gt;=10"/>
    <s v="&gt;50"/>
    <s v="Others"/>
    <x v="1"/>
    <s v="&gt; 50"/>
    <n v="830421685.71981049"/>
  </r>
  <r>
    <x v="34"/>
    <x v="34"/>
    <n v="3.4303599188001401"/>
    <n v="-2.1156359999999999E-2"/>
    <n v="-3.1084016000000001"/>
    <n v="2397894413.8811007"/>
    <n v="28492881.905494541"/>
    <n v="699021231.19483864"/>
    <n v="4.0761110870397445E-2"/>
    <n v="35"/>
    <x v="6"/>
    <n v="3.4310858116663652"/>
    <n v="-7.258928662250419E-4"/>
    <s v="&lt;10"/>
    <s v="0-50"/>
    <s v="Others"/>
    <x v="0"/>
    <s v="&gt; 50"/>
    <n v="1032305215.018261"/>
  </r>
  <r>
    <x v="35"/>
    <x v="35"/>
    <n v="213.78995970326685"/>
    <n v="-1.0486287299999999"/>
    <n v="-6.96103001"/>
    <n v="2271409289.2741308"/>
    <n v="167914941.1601283"/>
    <n v="10624490.001433039"/>
    <n v="15.804517782734024"/>
    <n v="36"/>
    <x v="1"/>
    <n v="216.05558059414537"/>
    <n v="-2.2656208908785231"/>
    <s v="&gt;=10"/>
    <s v="&gt;50"/>
    <s v="Others"/>
    <x v="0"/>
    <s v="&gt; 50"/>
    <n v="760677926.07564497"/>
  </r>
  <r>
    <x v="36"/>
    <x v="36"/>
    <n v="5168.855971176793"/>
    <n v="-0.80569873000000003"/>
    <n v="-7.6664973400000003"/>
    <n v="2196963104.0052414"/>
    <n v="1787685363.5613899"/>
    <n v="425038.56099999999"/>
    <n v="4205.9368904210787"/>
    <n v="37"/>
    <x v="1"/>
    <n v="5210.839639978436"/>
    <n v="-41.983668801643034"/>
    <s v="&gt;=10"/>
    <s v="&gt;50"/>
    <s v="Others"/>
    <x v="1"/>
    <s v="&gt; 50"/>
    <n v="732462713.9201808"/>
  </r>
  <r>
    <x v="37"/>
    <x v="37"/>
    <n v="140.69799000604857"/>
    <n v="-1.6798879900000001"/>
    <n v="-10.182835860000001"/>
    <n v="2155566141.4688606"/>
    <n v="470785042.59443814"/>
    <n v="15320518.37681685"/>
    <n v="30.72905439719549"/>
    <n v="38"/>
    <x v="1"/>
    <n v="143.10194234902659"/>
    <n v="-2.4039523429780161"/>
    <s v="&gt;=10"/>
    <s v="&gt;50"/>
    <s v="Others"/>
    <x v="0"/>
    <s v="&gt; 50"/>
    <n v="723628886.05526316"/>
  </r>
  <r>
    <x v="38"/>
    <x v="38"/>
    <n v="99.358695724541505"/>
    <n v="-0.67286239000000003"/>
    <n v="-4.8046179799999997"/>
    <n v="2086532610.2153716"/>
    <n v="35824232.937679946"/>
    <n v="21000000"/>
    <n v="1.7059158541752355"/>
    <n v="39"/>
    <x v="5"/>
    <n v="100.03177189567811"/>
    <n v="-0.67307617113660001"/>
    <s v="&gt;=10"/>
    <s v="&gt;50"/>
    <s v="Others"/>
    <x v="0"/>
    <s v="&gt; 50"/>
    <n v="702510869.84750307"/>
  </r>
  <r>
    <x v="39"/>
    <x v="39"/>
    <n v="1.4847835257394146"/>
    <n v="-0.10930463"/>
    <n v="-4.03491438"/>
    <n v="1874762636.6414285"/>
    <n v="12245322.161760479"/>
    <n v="1262650483.4823017"/>
    <n v="9.6981091140825749E-3"/>
    <n v="40"/>
    <x v="3"/>
    <n v="1.4864082387650863"/>
    <n v="-1.6247130256716869E-3"/>
    <s v="&lt;10"/>
    <s v="0-50"/>
    <s v="Others"/>
    <x v="1"/>
    <s v="&gt; 50"/>
    <n v="1045804373.3381418"/>
  </r>
  <r>
    <x v="40"/>
    <x v="40"/>
    <n v="4.5209459920358602E-6"/>
    <n v="-1.61231689"/>
    <n v="-6.6749113299999996"/>
    <n v="1870643137.2537463"/>
    <n v="507954787.61569721"/>
    <n v="413772502602129.81"/>
    <n v="1.2276185208569309E-6"/>
    <n v="41"/>
    <x v="4"/>
    <n v="4.5950324767596409E-6"/>
    <n v="-7.4086484723780708E-8"/>
    <s v="&lt;10"/>
    <s v="0-50"/>
    <s v="Others"/>
    <x v="1"/>
    <s v="&gt; 50"/>
    <n v="137924791081755.14"/>
  </r>
  <r>
    <x v="41"/>
    <x v="41"/>
    <n v="1.3086143987134069"/>
    <n v="-1.34398708"/>
    <n v="-9.7574344899999996"/>
    <n v="1683456047.9740314"/>
    <n v="222309673.91020024"/>
    <n v="1286441636"/>
    <n v="0.17280976275102483"/>
    <n v="42"/>
    <x v="3"/>
    <n v="1.3264416024744079"/>
    <n v="-1.7827203761000998E-2"/>
    <s v="&lt;10"/>
    <s v="0-50"/>
    <s v="Others"/>
    <x v="1"/>
    <s v="&gt; 50"/>
    <n v="989965894.21001482"/>
  </r>
  <r>
    <x v="42"/>
    <x v="42"/>
    <n v="2.9804160900312664"/>
    <n v="-0.67203734000000004"/>
    <n v="-5.1562595"/>
    <n v="1632203421.1220942"/>
    <n v="104456893.49435864"/>
    <n v="547642802.82253182"/>
    <n v="0.19073909664473171"/>
    <n v="43"/>
    <x v="6"/>
    <n v="3.0005811155447155"/>
    <n v="-2.016502551344912E-2"/>
    <s v="&lt;10"/>
    <s v="0-50"/>
    <s v="Others"/>
    <x v="0"/>
    <s v="&gt; 50"/>
    <n v="726615407.75752962"/>
  </r>
  <r>
    <x v="43"/>
    <x v="43"/>
    <n v="10.504588747439055"/>
    <n v="-0.92539811999999999"/>
    <n v="-6.96264678"/>
    <n v="1631647973.9246309"/>
    <n v="105160099.06273004"/>
    <n v="155327163.50484595"/>
    <n v="0.67702323721020774"/>
    <n v="44"/>
    <x v="5"/>
    <n v="10.602705989333474"/>
    <n v="-9.8117241894419394E-2"/>
    <s v="&gt;=10"/>
    <s v="0-50"/>
    <s v="Others"/>
    <x v="0"/>
    <s v="&gt; 50"/>
    <n v="595658378.83469284"/>
  </r>
  <r>
    <x v="44"/>
    <x v="44"/>
    <n v="0.99985786542117483"/>
    <n v="2.8679679999999999E-2"/>
    <n v="7.4970999999999996E-3"/>
    <n v="1593789390.8664167"/>
    <n v="51481309.292864174"/>
    <n v="1594015955.652914"/>
    <n v="3.2296608519064206E-2"/>
    <n v="45"/>
    <x v="2"/>
    <n v="0.99957119160205121"/>
    <n v="2.8667381912361733E-4"/>
    <s v="&lt;10"/>
    <s v="0-50"/>
    <s v="Others"/>
    <x v="1"/>
    <s v="&gt; 50"/>
    <n v="1062601782.1826701"/>
  </r>
  <r>
    <x v="45"/>
    <x v="45"/>
    <n v="0.61355720314995665"/>
    <n v="-0.29413984999999998"/>
    <n v="-6.1743766500000001"/>
    <n v="1579684753.8101299"/>
    <n v="201974074.46041191"/>
    <n v="2574633213.8228464"/>
    <n v="7.844770795934787E-2"/>
    <n v="46"/>
    <x v="2"/>
    <n v="0.61536724343675064"/>
    <n v="-1.8100402867939902E-3"/>
    <s v="&lt;10"/>
    <s v="0-50"/>
    <s v="Others"/>
    <x v="0"/>
    <s v="&gt; 50"/>
    <n v="1384772655.7796123"/>
  </r>
  <r>
    <x v="46"/>
    <x v="46"/>
    <n v="0.30571183848477584"/>
    <n v="-1.46811162"/>
    <n v="-8.6745746300000004"/>
    <n v="1488612024.2846332"/>
    <n v="99143076.44520542"/>
    <n v="4869330647"/>
    <n v="2.0360719703084361E-2"/>
    <n v="47"/>
    <x v="4"/>
    <n v="0.31026690293984993"/>
    <n v="-4.5550644550740871E-3"/>
    <s v="&lt;10"/>
    <s v="0-50"/>
    <s v="Others"/>
    <x v="0"/>
    <s v="&gt; 50"/>
    <n v="2119314223.2721739"/>
  </r>
  <r>
    <x v="47"/>
    <x v="47"/>
    <n v="6.3956350843256682E-2"/>
    <n v="-0.30338325999999999"/>
    <n v="-3.14754472"/>
    <n v="1470251450.6176364"/>
    <n v="27781280.890004009"/>
    <n v="22988357391.135525"/>
    <n v="1.2084935177106943E-3"/>
    <n v="48"/>
    <x v="4"/>
    <n v="6.4150974159984997E-2"/>
    <n v="-1.9462331672831512E-4"/>
    <s v="&lt;10"/>
    <s v="0-50"/>
    <s v="Others"/>
    <x v="1"/>
    <s v="&gt; 50"/>
    <n v="8152869613.8165932"/>
  </r>
  <r>
    <x v="48"/>
    <x v="48"/>
    <n v="0.16428946276544718"/>
    <n v="0.39084486000000002"/>
    <n v="-1.73435735"/>
    <n v="1400034266.6203713"/>
    <n v="18561688.217042089"/>
    <n v="8521753270.4405556"/>
    <n v="2.1781536765945924E-3"/>
    <n v="49"/>
    <x v="4"/>
    <n v="0.16364984575491615"/>
    <n v="6.3961701053102948E-4"/>
    <s v="&lt;10"/>
    <s v="0-50"/>
    <s v="Others"/>
    <x v="1"/>
    <s v="&gt; 50"/>
    <n v="3307262512.4839234"/>
  </r>
  <r>
    <x v="49"/>
    <x v="49"/>
    <n v="5.4791428215047491"/>
    <n v="-1.99767268"/>
    <n v="-7.2131648000000004"/>
    <n v="1377858804.2650771"/>
    <n v="13996603.256834161"/>
    <n v="251473423.69999999"/>
    <n v="5.5658379525351652E-2"/>
    <n v="50"/>
    <x v="6"/>
    <n v="5.5908292908331605"/>
    <n v="-0.11168646932841142"/>
    <s v="&lt;10"/>
    <s v="0-50"/>
    <s v="Others"/>
    <x v="1"/>
    <s v="&gt; 50"/>
    <n v="543110741.98913479"/>
  </r>
  <r>
    <x v="50"/>
    <x v="50"/>
    <n v="0.99984869784091468"/>
    <n v="0.10578078"/>
    <n v="8.5826500000000007E-3"/>
    <n v="1335929114.106612"/>
    <n v="166921581.74597323"/>
    <n v="1336131273.6531372"/>
    <n v="0.12492902833535985"/>
    <n v="51"/>
    <x v="2"/>
    <n v="0.99879216769534751"/>
    <n v="1.0565301455671694E-3"/>
    <s v="&lt;10"/>
    <s v="0-50"/>
    <s v="Others"/>
    <x v="1"/>
    <s v="&gt; 50"/>
    <n v="890686795.95517671"/>
  </r>
  <r>
    <x v="51"/>
    <x v="51"/>
    <n v="10.094111145619847"/>
    <n v="-0.97213908999999998"/>
    <n v="-5.8462755299999998"/>
    <n v="1333987477.8506215"/>
    <n v="4687891.3376156203"/>
    <n v="132155021.73556715"/>
    <n v="3.5472668961424404E-2"/>
    <n v="52"/>
    <x v="5"/>
    <n v="10.193203259023973"/>
    <n v="-9.9092113404125826E-2"/>
    <s v="&gt;=10"/>
    <s v="0-50"/>
    <s v="Others"/>
    <x v="1"/>
    <s v="&gt; 50"/>
    <n v="488714166.20468313"/>
  </r>
  <r>
    <x v="52"/>
    <x v="52"/>
    <n v="0.45864219708028059"/>
    <n v="-1.6730557500000001"/>
    <n v="-10.28969596"/>
    <n v="1275182097.9386439"/>
    <n v="390584589.09755188"/>
    <n v="2780341857.0215778"/>
    <n v="0.140480778689554"/>
    <n v="53"/>
    <x v="4"/>
    <n v="0.46644610038339573"/>
    <n v="-7.803903303115145E-3"/>
    <s v="&lt;10"/>
    <s v="0-50"/>
    <s v="Others"/>
    <x v="1"/>
    <s v="&gt; 50"/>
    <n v="1351841317.7623887"/>
  </r>
  <r>
    <x v="53"/>
    <x v="53"/>
    <n v="0.15247609234855211"/>
    <n v="-0.81948372999999997"/>
    <n v="-8.1430329500000003"/>
    <n v="1213376153.6424623"/>
    <n v="193252313.4436982"/>
    <n v="7957812500"/>
    <n v="2.4284602514032368E-2"/>
    <n v="54"/>
    <x v="4"/>
    <n v="0.15373593330918453"/>
    <n v="-1.259840960632419E-3"/>
    <s v="&lt;10"/>
    <s v="0-50"/>
    <s v="Others"/>
    <x v="0"/>
    <s v="&gt; 50"/>
    <n v="3057062884.2743263"/>
  </r>
  <r>
    <x v="54"/>
    <x v="54"/>
    <n v="0.10966729018881285"/>
    <n v="-0.86970506000000003"/>
    <n v="-6.5591100600000001"/>
    <n v="1160568672.4717588"/>
    <n v="100536885.22726832"/>
    <n v="10582632893.305029"/>
    <n v="9.5001769636053179E-3"/>
    <n v="55"/>
    <x v="4"/>
    <n v="0.11062944002657364"/>
    <n v="-9.6214983776078677E-4"/>
    <s v="&lt;10"/>
    <s v="0-50"/>
    <s v="Others"/>
    <x v="1"/>
    <s v="&gt; 50"/>
    <n v="3914400521.6356945"/>
  </r>
  <r>
    <x v="55"/>
    <x v="55"/>
    <n v="0.99810411764851903"/>
    <n v="7.3586059999999995E-2"/>
    <n v="-4.5058580000000001E-2"/>
    <n v="1111320630.7444389"/>
    <n v="3706165.1793804802"/>
    <n v="1113431566"/>
    <n v="3.3285971877866452E-3"/>
    <n v="56"/>
    <x v="2"/>
    <n v="0.99737019222044954"/>
    <n v="7.339254280694929E-4"/>
    <s v="&lt;10"/>
    <s v="0-50"/>
    <s v="Others"/>
    <x v="0"/>
    <s v="&gt; 50"/>
    <n v="741584065.60600817"/>
  </r>
  <r>
    <x v="56"/>
    <x v="56"/>
    <n v="1.438585992684805"/>
    <n v="-1.0589861"/>
    <n v="-7.7887692800000004"/>
    <n v="1101064286.4748759"/>
    <n v="107999948.06795"/>
    <n v="765379540.79476416"/>
    <n v="0.14110639533923744"/>
    <n v="57"/>
    <x v="3"/>
    <n v="1.4539834755875745"/>
    <n v="-1.5397482902769433E-2"/>
    <s v="&lt;10"/>
    <s v="0-50"/>
    <s v="Others"/>
    <x v="0"/>
    <s v="&gt; 50"/>
    <n v="622147942.07021797"/>
  </r>
  <r>
    <x v="57"/>
    <x v="57"/>
    <n v="9.3348904626713871"/>
    <n v="-0.70984290999999999"/>
    <n v="-4.1875526799999996"/>
    <n v="1075198032.8388097"/>
    <n v="4985982.4741293304"/>
    <n v="115180573.04885802"/>
    <n v="4.3288397879513461E-2"/>
    <n v="58"/>
    <x v="6"/>
    <n v="9.4016272471096229"/>
    <n v="-6.673678443823583E-2"/>
    <s v="&lt;10"/>
    <s v="0-50"/>
    <s v="Others"/>
    <x v="1"/>
    <s v="&gt; 50"/>
    <n v="396792868.39260823"/>
  </r>
  <r>
    <x v="58"/>
    <x v="58"/>
    <n v="3.7645763046081956E-2"/>
    <n v="-0.66624265000000005"/>
    <n v="-4.1606352800000002"/>
    <n v="1022407810.4653065"/>
    <n v="32261892.553547859"/>
    <n v="27158642241.194134"/>
    <n v="1.1879052077431592E-3"/>
    <n v="59"/>
    <x v="4"/>
    <n v="3.7898257400490812E-2"/>
    <n v="-2.5249435440885537E-4"/>
    <s v="&lt;10"/>
    <s v="0-50"/>
    <s v="Others"/>
    <x v="1"/>
    <s v="&gt; 50"/>
    <n v="9393683350.3310661"/>
  </r>
  <r>
    <x v="59"/>
    <x v="59"/>
    <n v="2.0719902825781369"/>
    <n v="-0.29996507"/>
    <n v="-5.4393754300000001"/>
    <n v="1016272570.2659032"/>
    <n v="59188630.196363531"/>
    <n v="490481340"/>
    <n v="0.12067458100722758"/>
    <n v="60"/>
    <x v="6"/>
    <n v="2.0782242293424407"/>
    <n v="-6.2339467643037771E-3"/>
    <s v="&lt;10"/>
    <s v="0-50"/>
    <s v="Others"/>
    <x v="0"/>
    <s v="&gt; 50"/>
    <n v="502251303.32197934"/>
  </r>
  <r>
    <x v="60"/>
    <x v="60"/>
    <n v="0.11113176877749004"/>
    <n v="-0.26410342999999997"/>
    <n v="-9.0255840900000006"/>
    <n v="985515832.67347598"/>
    <n v="60798986.698443882"/>
    <n v="8867993765.5513515"/>
    <n v="6.8560024178889144E-3"/>
    <n v="61"/>
    <x v="4"/>
    <n v="0.11142604879426916"/>
    <n v="-2.9428001677912763E-4"/>
    <s v="&lt;10"/>
    <s v="0-50"/>
    <s v="Others"/>
    <x v="0"/>
    <s v="&gt; 50"/>
    <n v="3284503199.3202415"/>
  </r>
  <r>
    <x v="61"/>
    <x v="61"/>
    <n v="2.6846977684150688E-3"/>
    <n v="-0.87424694999999997"/>
    <n v="-10.36287067"/>
    <n v="950383010.01893437"/>
    <n v="315285581.52283525"/>
    <n v="354000000000"/>
    <n v="8.9063723594021258E-4"/>
    <n v="62"/>
    <x v="4"/>
    <n v="2.7083756600173124E-3"/>
    <n v="-2.3677891602243584E-5"/>
    <s v="&lt;10"/>
    <s v="0-50"/>
    <s v="Others"/>
    <x v="1"/>
    <s v="&gt; 50"/>
    <n v="118316794336.38158"/>
  </r>
  <r>
    <x v="62"/>
    <x v="62"/>
    <n v="4.501861211883325"/>
    <n v="-0.52584805000000001"/>
    <n v="-4.0708534500000004"/>
    <n v="900368483.97458017"/>
    <n v="229749821.8895728"/>
    <n v="199999165.144835"/>
    <n v="1.1487539046635171"/>
    <n v="63"/>
    <x v="6"/>
    <n v="4.5256593030782053"/>
    <n v="-2.37980911948803E-2"/>
    <s v="&lt;10"/>
    <s v="0-50"/>
    <s v="Others"/>
    <x v="0"/>
    <s v="&gt; 50"/>
    <n v="366789216.19785571"/>
  </r>
  <r>
    <x v="63"/>
    <x v="63"/>
    <n v="0.15267476745342057"/>
    <n v="-1.0192256900000001"/>
    <n v="-8.53861296"/>
    <n v="889603051.74644375"/>
    <n v="150855180.16791749"/>
    <n v="5826785045"/>
    <n v="2.5889951148509803E-2"/>
    <n v="64"/>
    <x v="4"/>
    <n v="0.15424689139656073"/>
    <n v="-1.5721239431401579E-3"/>
    <s v="&lt;10"/>
    <s v="0-50"/>
    <s v="Others"/>
    <x v="0"/>
    <s v="&gt; 50"/>
    <n v="2238796031.9090724"/>
  </r>
  <r>
    <x v="64"/>
    <x v="64"/>
    <n v="5.2947576384987649E-2"/>
    <n v="-1.57267468"/>
    <n v="-8.0630981300000002"/>
    <n v="879321548.34044564"/>
    <n v="18692698.739090011"/>
    <n v="16607399401"/>
    <n v="1.1255644720608361E-3"/>
    <n v="65"/>
    <x v="4"/>
    <n v="5.3793574307590103E-2"/>
    <n v="-8.4599792260245388E-4"/>
    <s v="&lt;10"/>
    <s v="0-50"/>
    <s v="Others"/>
    <x v="1"/>
    <s v="&gt; 50"/>
    <n v="5828906982.5892572"/>
  </r>
  <r>
    <x v="65"/>
    <x v="65"/>
    <n v="1.6818732849767304"/>
    <n v="-0.52230840999999995"/>
    <n v="-9.0741541399999992"/>
    <n v="872412418.3427428"/>
    <n v="98536526.741060421"/>
    <n v="518714713.01407415"/>
    <n v="0.18996285293027124"/>
    <n v="66"/>
    <x v="3"/>
    <n v="1.6907039740212477"/>
    <n v="-8.8306890445173369E-3"/>
    <s v="&lt;10"/>
    <s v="0-50"/>
    <s v="Others"/>
    <x v="1"/>
    <s v="&gt; 50"/>
    <n v="463709043.61150283"/>
  </r>
  <r>
    <x v="66"/>
    <x v="66"/>
    <n v="1.1552299534229409"/>
    <n v="-0.46861037"/>
    <n v="-7.4819441199999996"/>
    <n v="855896968.57247722"/>
    <n v="174869369.17232269"/>
    <n v="740888830"/>
    <n v="0.23602646185436849"/>
    <n v="67"/>
    <x v="3"/>
    <n v="1.1606689685710367"/>
    <n v="-5.4390151480958604E-3"/>
    <s v="&lt;10"/>
    <s v="0-50"/>
    <s v="Others"/>
    <x v="1"/>
    <s v="&gt; 50"/>
    <n v="532261932.70128894"/>
  </r>
  <r>
    <x v="67"/>
    <x v="67"/>
    <n v="70.472661745291646"/>
    <n v="-1.0558435799999999"/>
    <n v="-6.9681277599999998"/>
    <n v="850797981.4135288"/>
    <n v="20472175.14328352"/>
    <n v="12072738"/>
    <n v="1.695735892163279"/>
    <n v="68"/>
    <x v="5"/>
    <n v="71.224682987995749"/>
    <n v="-0.75202124270410309"/>
    <s v="&gt;=10"/>
    <s v="&gt;50"/>
    <s v="Others"/>
    <x v="1"/>
    <s v="&gt; 50"/>
    <n v="287623572.78589505"/>
  </r>
  <r>
    <x v="68"/>
    <x v="68"/>
    <n v="9.9809603925663203E-3"/>
    <n v="-1.4945164900000001"/>
    <n v="-4.2353361200000004"/>
    <n v="829523844.70357716"/>
    <n v="5959164.1299737599"/>
    <n v="83110623835.49733"/>
    <n v="7.1701593069122712E-5"/>
    <n v="69"/>
    <x v="4"/>
    <n v="1.0132390641535281E-2"/>
    <n v="-1.5143024896896104E-4"/>
    <s v="&lt;10"/>
    <s v="0-50"/>
    <s v="Others"/>
    <x v="1"/>
    <s v="&gt; 50"/>
    <n v="27980049226.235462"/>
  </r>
  <r>
    <x v="69"/>
    <x v="69"/>
    <n v="9.0396099601772802E-3"/>
    <n v="-0.97649660999999999"/>
    <n v="-9.6363271299999997"/>
    <n v="777271234.64986277"/>
    <n v="37555801.632633448"/>
    <n v="85985041177"/>
    <n v="4.3677133974181532E-4"/>
    <n v="70"/>
    <x v="4"/>
    <n v="9.1287519131444464E-3"/>
    <n v="-8.9141952967166163E-5"/>
    <s v="&lt;10"/>
    <s v="0-50"/>
    <s v="Others"/>
    <x v="1"/>
    <s v="&gt; 50"/>
    <n v="28920770803.557789"/>
  </r>
  <r>
    <x v="70"/>
    <x v="70"/>
    <n v="39.201389512446255"/>
    <n v="-12.625485019999999"/>
    <n v="-22.006666150000001"/>
    <n v="768347234.4439466"/>
    <n v="97681165.133685306"/>
    <n v="19600000"/>
    <n v="4.9837329149839444"/>
    <n v="71"/>
    <x v="5"/>
    <n v="44.86593089692051"/>
    <n v="-5.6645413844742549"/>
    <s v="&gt;=10"/>
    <s v="0-50"/>
    <s v="Others"/>
    <x v="1"/>
    <s v="&gt; 50"/>
    <n v="262649073.93948719"/>
  </r>
  <r>
    <x v="71"/>
    <x v="71"/>
    <n v="0.99857631851329598"/>
    <n v="1.7604849999999998E-2"/>
    <n v="2.01326E-2"/>
    <n v="758818162.46255612"/>
    <n v="31134454.36426704"/>
    <n v="759900018.04999995"/>
    <n v="4.0971777371662667E-2"/>
    <n v="72"/>
    <x v="2"/>
    <n v="0.99840055159378871"/>
    <n v="1.7576691950726975E-4"/>
    <s v="&lt;10"/>
    <s v="0-50"/>
    <s v="Others"/>
    <x v="0"/>
    <s v="&gt; 50"/>
    <n v="506239393.51005363"/>
  </r>
  <r>
    <x v="72"/>
    <x v="72"/>
    <n v="3.7262840481056055E-2"/>
    <n v="-0.48806140999999997"/>
    <n v="-1.9981163"/>
    <n v="711248747.38041914"/>
    <n v="25398496.515606791"/>
    <n v="19087346487.77"/>
    <n v="1.3306457517225135E-3"/>
    <n v="73"/>
    <x v="4"/>
    <n v="3.7445597994611488E-2"/>
    <n v="-1.8275751355543296E-4"/>
    <s v="&lt;10"/>
    <s v="0-50"/>
    <s v="Others"/>
    <x v="1"/>
    <s v="&gt; 50"/>
    <n v="6599531744.8874521"/>
  </r>
  <r>
    <x v="73"/>
    <x v="73"/>
    <n v="7.9339671315187315E-6"/>
    <n v="-1.18429172"/>
    <n v="-6.20754071"/>
    <n v="698150717.23534107"/>
    <n v="122270868.83530967"/>
    <n v="87995161268294.797"/>
    <n v="1.3895180947792025E-6"/>
    <n v="74"/>
    <x v="4"/>
    <n v="8.0290545598655016E-6"/>
    <n v="-9.5087428346770075E-8"/>
    <s v="&lt;10"/>
    <s v="0-50"/>
    <s v="Others"/>
    <x v="0"/>
    <s v="&gt; 50"/>
    <n v="29331953139670.281"/>
  </r>
  <r>
    <x v="74"/>
    <x v="74"/>
    <n v="51.456370924058611"/>
    <n v="-2.0481614399999999"/>
    <n v="-8.4547506600000002"/>
    <n v="647009684.12982953"/>
    <n v="174814567.73165536"/>
    <n v="12573947.064489109"/>
    <n v="13.902919014615577"/>
    <n v="75"/>
    <x v="5"/>
    <n v="52.532317596610724"/>
    <n v="-1.0759466725521136"/>
    <s v="&gt;=10"/>
    <s v="&gt;50"/>
    <s v="Others"/>
    <x v="0"/>
    <s v="&gt; 50"/>
    <n v="219861209.71538576"/>
  </r>
  <r>
    <x v="75"/>
    <x v="75"/>
    <n v="1.8013983403905107"/>
    <n v="-2.9285333599999999"/>
    <n v="-9.8702482899999993"/>
    <n v="629635023.10942495"/>
    <n v="196089281.76956072"/>
    <n v="349525704"/>
    <n v="0.56101534028971078"/>
    <n v="76"/>
    <x v="3"/>
    <n v="1.8557444352532455"/>
    <n v="-5.4346094862734784E-2"/>
    <s v="&lt;10"/>
    <s v="0-50"/>
    <s v="Others"/>
    <x v="1"/>
    <s v="&gt; 50"/>
    <n v="326386908.06029719"/>
  </r>
  <r>
    <x v="76"/>
    <x v="76"/>
    <n v="9.4812789733060301E-2"/>
    <n v="-0.62072738999999999"/>
    <n v="-9.9625916700000001"/>
    <n v="626923235.20275474"/>
    <n v="73758831.024411201"/>
    <n v="6612222222"/>
    <n v="1.1154923193446659E-2"/>
    <n v="77"/>
    <x v="4"/>
    <n v="9.5404994666382581E-2"/>
    <n v="-5.9220493332227953E-4"/>
    <s v="&lt;10"/>
    <s v="0-50"/>
    <s v="Others"/>
    <x v="1"/>
    <s v="&gt; 50"/>
    <n v="2413048485.5273423"/>
  </r>
  <r>
    <x v="77"/>
    <x v="77"/>
    <n v="0.19190718170781804"/>
    <n v="-1.1250583300000001"/>
    <n v="-9.0432737900000006"/>
    <n v="622526036.16694534"/>
    <n v="46483696.479856811"/>
    <n v="3243891294.8800001"/>
    <n v="1.4329609797105227E-2"/>
    <n v="78"/>
    <x v="4"/>
    <n v="0.19409081660782943"/>
    <n v="-2.1836349000113886E-3"/>
    <s v="&lt;10"/>
    <s v="0-50"/>
    <s v="Others"/>
    <x v="1"/>
    <s v="&gt; 50"/>
    <n v="1288805776.6406291"/>
  </r>
  <r>
    <x v="78"/>
    <x v="78"/>
    <n v="1.9701688463937614"/>
    <n v="-1.3422722"/>
    <n v="-3.4091904099999999"/>
    <n v="582936810.69097626"/>
    <n v="159382475.48678178"/>
    <n v="295881650.83312333"/>
    <n v="0.53866968444309915"/>
    <n v="79"/>
    <x v="3"/>
    <n v="1.9969736687912667"/>
    <n v="-2.6804822397505257E-2"/>
    <s v="&lt;10"/>
    <s v="0-50"/>
    <s v="Others"/>
    <x v="1"/>
    <s v="&gt; 50"/>
    <n v="292939486.72727579"/>
  </r>
  <r>
    <x v="79"/>
    <x v="79"/>
    <n v="0.88847910298653665"/>
    <n v="-0.74863303000000003"/>
    <n v="-4.1026607500000001"/>
    <n v="574087075.94379854"/>
    <n v="11684178.41708624"/>
    <n v="646145839.57468474"/>
    <n v="1.8082881141472898E-2"/>
    <n v="80"/>
    <x v="2"/>
    <n v="0.89518072154622397"/>
    <n v="-6.7016185596873168E-3"/>
    <s v="&lt;10"/>
    <s v="0-50"/>
    <s v="Others"/>
    <x v="1"/>
    <s v="&gt; 50"/>
    <n v="406744304.9232834"/>
  </r>
  <r>
    <x v="80"/>
    <x v="80"/>
    <n v="1.6857236586128312"/>
    <n v="-1.13323708"/>
    <n v="-10.583788930000001"/>
    <n v="562189553.96812117"/>
    <n v="68818940.942027748"/>
    <n v="333500423.45062804"/>
    <n v="0.20635338399267675"/>
    <n v="81"/>
    <x v="3"/>
    <n v="1.7050458706500464"/>
    <n v="-1.9322212037215181E-2"/>
    <s v="&lt;10"/>
    <s v="0-50"/>
    <s v="Others"/>
    <x v="1"/>
    <s v="&gt; 50"/>
    <n v="298563325.42850405"/>
  </r>
  <r>
    <x v="81"/>
    <x v="81"/>
    <n v="8.700447521373644E-3"/>
    <n v="-0.88645600999999996"/>
    <n v="-10.543163229999999"/>
    <n v="546913577.35415399"/>
    <n v="190171633.99365863"/>
    <n v="62860396090.040001"/>
    <n v="3.0253012361115337E-3"/>
    <n v="82"/>
    <x v="4"/>
    <n v="8.7782629609647195E-3"/>
    <n v="-7.7815439591075522E-5"/>
    <s v="&lt;10"/>
    <s v="0-50"/>
    <s v="Others"/>
    <x v="1"/>
    <s v="&gt; 50"/>
    <n v="21135769888.835899"/>
  </r>
  <r>
    <x v="82"/>
    <x v="82"/>
    <n v="0.49812052985035837"/>
    <n v="-0.19850988"/>
    <n v="-4.6145860000000001"/>
    <n v="534850840.58842868"/>
    <n v="26498126.866404489"/>
    <n v="1073737797.454573"/>
    <n v="2.4678396280005736E-2"/>
    <n v="83"/>
    <x v="4"/>
    <n v="0.49911131512307561"/>
    <n v="-9.9078527271723171E-4"/>
    <s v="&lt;10"/>
    <s v="0-50"/>
    <s v="Others"/>
    <x v="1"/>
    <s v="&gt; 50"/>
    <n v="536196212.61483067"/>
  </r>
  <r>
    <x v="83"/>
    <x v="83"/>
    <n v="0.26155953450679315"/>
    <n v="-0.66372089999999995"/>
    <n v="-9.6686903300000004"/>
    <n v="508495928.55346912"/>
    <n v="122632451.98881921"/>
    <n v="1944092497"/>
    <n v="6.3079535658955438E-2"/>
    <n v="84"/>
    <x v="4"/>
    <n v="0.26330715915328978"/>
    <n v="-1.7476246464966372E-3"/>
    <s v="&lt;10"/>
    <s v="0-50"/>
    <s v="Others"/>
    <x v="0"/>
    <s v="&gt; 50"/>
    <n v="817529474.96324933"/>
  </r>
  <r>
    <x v="84"/>
    <x v="84"/>
    <n v="0.27630398484763985"/>
    <n v="-0.31912283000000002"/>
    <n v="-5.4862534600000004"/>
    <n v="501382810.20462471"/>
    <n v="19036360.917030942"/>
    <n v="1814605788.19049"/>
    <n v="1.0490631651745057E-2"/>
    <n v="85"/>
    <x v="4"/>
    <n v="0.27718855681458271"/>
    <n v="-8.8457196694285978E-4"/>
    <s v="&lt;10"/>
    <s v="0-50"/>
    <s v="Others"/>
    <x v="1"/>
    <s v="&gt; 50"/>
    <n v="771996199.35866392"/>
  </r>
  <r>
    <x v="85"/>
    <x v="85"/>
    <n v="4.830026058737949E-2"/>
    <n v="0.57748657999999997"/>
    <n v="-9.0363152499999995"/>
    <n v="494903521.14667428"/>
    <n v="161436406.74625382"/>
    <n v="10246394432"/>
    <n v="1.5755435516134328E-2"/>
    <n v="86"/>
    <x v="4"/>
    <n v="4.8022934584829917E-2"/>
    <n v="2.7732600254957301E-4"/>
    <s v="&lt;10"/>
    <s v="0-50"/>
    <s v="Others"/>
    <x v="0"/>
    <s v="&gt; 50"/>
    <n v="3580432651.2413869"/>
  </r>
  <r>
    <x v="86"/>
    <x v="86"/>
    <n v="0.99773379909180548"/>
    <n v="4.4999299999999999E-2"/>
    <n v="-4.2562219999999998E-2"/>
    <n v="493394412.46978951"/>
    <n v="20973837.145350941"/>
    <n v="494515083"/>
    <n v="4.2412937170919297E-2"/>
    <n v="87"/>
    <x v="2"/>
    <n v="0.99728502781028616"/>
    <n v="4.4877128151932233E-4"/>
    <s v="&lt;10"/>
    <s v="0-50"/>
    <s v="Others"/>
    <x v="1"/>
    <s v="&gt; 50"/>
    <n v="329303165.17159629"/>
  </r>
  <r>
    <x v="87"/>
    <x v="87"/>
    <n v="0.72624720126033393"/>
    <n v="-1.77750432"/>
    <n v="-10.619726849999999"/>
    <n v="476616154.50715929"/>
    <n v="175785820.83735713"/>
    <n v="656272621.33339262"/>
    <n v="0.26785487482351683"/>
    <n v="88"/>
    <x v="2"/>
    <n v="0.73938988846952292"/>
    <n v="-1.3142687209188986E-2"/>
    <s v="&lt;10"/>
    <s v="0-50"/>
    <s v="Others"/>
    <x v="1"/>
    <s v="&gt; 50"/>
    <n v="377629591.3543492"/>
  </r>
  <r>
    <x v="88"/>
    <x v="88"/>
    <n v="0.20628981860838932"/>
    <n v="-1.02204786"/>
    <n v="-7.5460197600000001"/>
    <n v="471857685.88439196"/>
    <n v="66408913.817783423"/>
    <n v="2287353244.4184456"/>
    <n v="2.9033081785611009E-2"/>
    <n v="89"/>
    <x v="4"/>
    <n v="0.20841997045625005"/>
    <n v="-2.1301518478607229E-3"/>
    <s v="&lt;10"/>
    <s v="0-50"/>
    <s v="Others"/>
    <x v="0"/>
    <s v="&gt; 50"/>
    <n v="919736976.42692995"/>
  </r>
  <r>
    <x v="89"/>
    <x v="89"/>
    <n v="0.31553742845272503"/>
    <n v="-1.16726956"/>
    <n v="-6.5941648600000002"/>
    <n v="460728677.12264961"/>
    <n v="93621029.395305887"/>
    <n v="1460139544.7186313"/>
    <n v="6.4117864442433586E-2"/>
    <n v="90"/>
    <x v="4"/>
    <n v="0.31926410112111947"/>
    <n v="-3.7266726683944373E-3"/>
    <s v="&lt;10"/>
    <s v="0-50"/>
    <s v="Others"/>
    <x v="0"/>
    <s v="&gt; 50"/>
    <n v="640289406.89133704"/>
  </r>
  <r>
    <x v="90"/>
    <x v="90"/>
    <n v="0.99669393902835512"/>
    <n v="1.535106E-2"/>
    <n v="-9.1949149999999993E-2"/>
    <n v="456632277.69513935"/>
    <n v="11378638930.897017"/>
    <n v="458146939.41080397"/>
    <n v="24.836221640005757"/>
    <n v="91"/>
    <x v="2"/>
    <n v="0.9965409594277489"/>
    <n v="1.5297960060622895E-4"/>
    <s v="&lt;10"/>
    <s v="0-50"/>
    <s v="Others"/>
    <x v="1"/>
    <s v="&gt; 50"/>
    <n v="304926405.70709813"/>
  </r>
  <r>
    <x v="91"/>
    <x v="91"/>
    <n v="1.1944252092497782"/>
    <n v="-0.45393533000000003"/>
    <n v="-0.39533655000000001"/>
    <n v="452280470.95354635"/>
    <n v="27810541.28331013"/>
    <n v="378659515.43138057"/>
    <n v="7.3444717879669566E-2"/>
    <n v="92"/>
    <x v="3"/>
    <n v="1.1998718514984548"/>
    <n v="-5.4466422486765254E-3"/>
    <s v="&lt;10"/>
    <s v="0-50"/>
    <s v="Others"/>
    <x v="1"/>
    <s v="&gt; 50"/>
    <n v="276979995.31033057"/>
  </r>
  <r>
    <x v="92"/>
    <x v="92"/>
    <n v="2.526609098837761E-2"/>
    <n v="-0.13147175999999999"/>
    <n v="-12.46150454"/>
    <n v="444683201.39544594"/>
    <n v="97790440.918288425"/>
    <n v="17600000000"/>
    <n v="5.5562750521754786E-3"/>
    <n v="93"/>
    <x v="4"/>
    <n v="2.5299352492367932E-2"/>
    <n v="-3.3261503990321406E-5"/>
    <s v="&lt;10"/>
    <s v="0-50"/>
    <s v="Others"/>
    <x v="1"/>
    <s v="&gt; 50"/>
    <n v="6014894400.4213247"/>
  </r>
  <r>
    <x v="93"/>
    <x v="93"/>
    <n v="0.12353386705345525"/>
    <n v="-1.4623291700000001"/>
    <n v="2.4718252700000001"/>
    <n v="428837627.93203795"/>
    <n v="29197641.11901243"/>
    <n v="3471417500"/>
    <n v="8.4108699454941479E-3"/>
    <n v="94"/>
    <x v="4"/>
    <n v="0.12536714741977145"/>
    <n v="-1.8332803663162062E-3"/>
    <s v="&lt;10"/>
    <s v="0-50"/>
    <s v="Others"/>
    <x v="0"/>
    <s v="&gt; 50"/>
    <n v="1300085042.1565697"/>
  </r>
  <r>
    <x v="94"/>
    <x v="94"/>
    <n v="1.1917834919106087"/>
    <n v="-5.3818570000000003E-2"/>
    <n v="-0.55817797000000002"/>
    <n v="410118798.23619723"/>
    <n v="73594835.027719393"/>
    <n v="344121898.8347581"/>
    <n v="0.21386269015985662"/>
    <n v="95"/>
    <x v="3"/>
    <n v="1.192425238122085"/>
    <n v="-6.4174621147627953E-4"/>
    <s v="&lt;10"/>
    <s v="0-50"/>
    <s v="Others"/>
    <x v="0"/>
    <s v="&gt; 50"/>
    <n v="251413565.67237893"/>
  </r>
  <r>
    <x v="95"/>
    <x v="95"/>
    <n v="0.20129256954183872"/>
    <n v="-0.68776791000000004"/>
    <n v="-10.758371070000001"/>
    <n v="400365391.15277332"/>
    <n v="24755171.244903401"/>
    <n v="1988972529.2098141"/>
    <n v="1.2446210735116699E-2"/>
    <n v="96"/>
    <x v="4"/>
    <n v="0.20268658281632498"/>
    <n v="-1.3940132744862666E-3"/>
    <s v="&lt;10"/>
    <s v="0-50"/>
    <s v="Others"/>
    <x v="0"/>
    <s v="&gt; 50"/>
    <n v="796445973.22493982"/>
  </r>
  <r>
    <x v="96"/>
    <x v="96"/>
    <n v="3.9863510074157591"/>
    <n v="-0.10521712"/>
    <n v="-8.7526936200000005"/>
    <n v="398519239.08394927"/>
    <n v="62286781.318906479"/>
    <n v="99970935.409999996"/>
    <n v="0.62304889979729039"/>
    <n v="97"/>
    <x v="6"/>
    <n v="3.9905497489337542"/>
    <n v="-4.1987415179951526E-3"/>
    <s v="&lt;10"/>
    <s v="0-50"/>
    <s v="Others"/>
    <x v="0"/>
    <s v="&gt; 50"/>
    <n v="166163391.46291074"/>
  </r>
  <r>
    <x v="97"/>
    <x v="97"/>
    <n v="1.5810203755191015"/>
    <n v="-1.6575695500000001"/>
    <n v="-13.964329149999999"/>
    <n v="395255093.87977535"/>
    <n v="161221515.71314582"/>
    <n v="250000000"/>
    <n v="0.64488606285258332"/>
    <n v="98"/>
    <x v="3"/>
    <n v="1.6076686007093712"/>
    <n v="-2.664822519026977E-2"/>
    <s v="&lt;10"/>
    <s v="0-50"/>
    <s v="Others"/>
    <x v="1"/>
    <s v="&gt; 50"/>
    <n v="215085030.74073529"/>
  </r>
  <r>
    <x v="98"/>
    <x v="98"/>
    <n v="0.46484373577562182"/>
    <n v="-1.31782993"/>
    <n v="-8.8360745699999992"/>
    <n v="393521275.10085541"/>
    <n v="52747904.543621667"/>
    <n v="846566802.59278893"/>
    <n v="6.2308023870142455E-2"/>
    <n v="99"/>
    <x v="4"/>
    <n v="0.47105139200514728"/>
    <n v="-6.20765622952546E-3"/>
    <s v="&lt;10"/>
    <s v="0-50"/>
    <s v="Others"/>
    <x v="1"/>
    <s v="&gt; 50"/>
    <n v="413362692.1252715"/>
  </r>
  <r>
    <x v="99"/>
    <x v="99"/>
    <n v="0.33919794891766891"/>
    <n v="0.53382399999999997"/>
    <n v="-1.9286203500000001"/>
    <n v="392501445.50798559"/>
    <n v="25203918.663330711"/>
    <n v="1157145692.538532"/>
    <n v="2.1781110905782886E-2"/>
    <n v="100"/>
    <x v="4"/>
    <n v="0.33739684359133593"/>
    <n v="1.8011053263329857E-3"/>
    <s v="&lt;10"/>
    <s v="0-50"/>
    <s v="Others"/>
    <x v="1"/>
    <s v="&gt; 50"/>
    <n v="516549046.19344717"/>
  </r>
  <r>
    <x v="100"/>
    <x v="100"/>
    <n v="4.2942557873999775E-2"/>
    <n v="-0.45714451"/>
    <n v="-1.11758051"/>
    <n v="378543324.98767442"/>
    <n v="35262606.036764883"/>
    <n v="8815108920.5813065"/>
    <n v="4.0002462084653984E-3"/>
    <n v="101"/>
    <x v="4"/>
    <n v="4.3139768959424465E-2"/>
    <n v="-1.9721108542469085E-4"/>
    <s v="&lt;10"/>
    <s v="0-50"/>
    <s v="Others"/>
    <x v="1"/>
    <s v="&gt; 50"/>
    <n v="3064550748.3706117"/>
  </r>
  <r>
    <x v="101"/>
    <x v="101"/>
    <n v="0.40993611691039777"/>
    <n v="-1.00164096"/>
    <n v="-9.6783083300000001"/>
    <n v="375895680.84536809"/>
    <n v="27616142.36956425"/>
    <n v="916961607.7705344"/>
    <n v="3.0117010500264114E-2"/>
    <n v="102"/>
    <x v="4"/>
    <n v="0.41408374935261733"/>
    <n v="-4.147632442219551E-3"/>
    <s v="&lt;10"/>
    <s v="0-50"/>
    <s v="Others"/>
    <x v="0"/>
    <s v="&gt; 50"/>
    <n v="430952429.20475388"/>
  </r>
  <r>
    <x v="102"/>
    <x v="102"/>
    <n v="3.8003850663966556E-7"/>
    <n v="-0.15794171000000001"/>
    <n v="-4.4974717699999998"/>
    <n v="374741204.18677622"/>
    <n v="14568497.03386366"/>
    <n v="986061142857000"/>
    <n v="1.4774435783619966E-8"/>
    <n v="103"/>
    <x v="4"/>
    <n v="3.8063969548365121E-7"/>
    <n v="-6.0118884398565384E-10"/>
    <s v="&lt;10"/>
    <s v="0-50"/>
    <s v="Others"/>
    <x v="0"/>
    <s v="&gt; 50"/>
    <n v="328687172532734.69"/>
  </r>
  <r>
    <x v="103"/>
    <x v="103"/>
    <n v="0.53494294390792996"/>
    <n v="-1.13585121"/>
    <n v="-11.474442700000001"/>
    <n v="374119574.90118301"/>
    <n v="50864427.169971883"/>
    <n v="699363510"/>
    <n v="7.2729598331448375E-2"/>
    <n v="104"/>
    <x v="2"/>
    <n v="0.54108890882600602"/>
    <n v="-6.1459649180760634E-3"/>
    <s v="&lt;10"/>
    <s v="0-50"/>
    <s v="Others"/>
    <x v="0"/>
    <s v="&gt; 50"/>
    <n v="357827694.58844393"/>
  </r>
  <r>
    <x v="104"/>
    <x v="104"/>
    <n v="1.886465882264966E-2"/>
    <n v="0.59780763000000003"/>
    <n v="3.7948184899999999"/>
    <n v="362284631.3318668"/>
    <n v="43292062.303274602"/>
    <n v="19204409405.851192"/>
    <n v="2.2542772020932023E-3"/>
    <n v="105"/>
    <x v="4"/>
    <n v="1.8752554620309534E-2"/>
    <n v="1.1210420234012558E-4"/>
    <s v="&lt;10"/>
    <s v="0-50"/>
    <s v="Others"/>
    <x v="1"/>
    <s v="&gt; 50"/>
    <n v="6522231345.9269562"/>
  </r>
  <r>
    <x v="105"/>
    <x v="105"/>
    <n v="3.7732558995175347E-5"/>
    <n v="-1.24655564"/>
    <n v="-6.6594382200000002"/>
    <n v="359946546.58812201"/>
    <n v="57547180.219525367"/>
    <n v="9539415194027.6934"/>
    <n v="6.0325689834271726E-6"/>
    <n v="106"/>
    <x v="4"/>
    <n v="3.8208853614891117E-5"/>
    <n v="-4.7629461971577001E-7"/>
    <s v="&lt;10"/>
    <s v="0-50"/>
    <s v="Others"/>
    <x v="1"/>
    <s v="&gt; 50"/>
    <n v="3179925046857.6782"/>
  </r>
  <r>
    <x v="106"/>
    <x v="106"/>
    <n v="2.1160893793822422"/>
    <n v="-0.57443226999999997"/>
    <n v="-10.959014590000001"/>
    <n v="357219107.69429034"/>
    <n v="258152833.09464219"/>
    <n v="168810973.28628653"/>
    <n v="1.5292420159016606"/>
    <n v="107"/>
    <x v="6"/>
    <n v="2.1283151081708609"/>
    <n v="-1.2225728788618717E-2"/>
    <s v="&lt;10"/>
    <s v="0-50"/>
    <s v="Others"/>
    <x v="0"/>
    <s v="&gt; 50"/>
    <n v="175343360.13538155"/>
  </r>
  <r>
    <x v="107"/>
    <x v="107"/>
    <n v="5.6888044014927169E-2"/>
    <n v="-0.83071965999999997"/>
    <n v="-8.7004598600000005"/>
    <n v="354485739.57244366"/>
    <n v="27417175.09576904"/>
    <n v="6231287183.637887"/>
    <n v="4.3999216033183408E-3"/>
    <n v="108"/>
    <x v="4"/>
    <n v="5.7364582882811682E-2"/>
    <n v="-4.7653886788451283E-4"/>
    <s v="&lt;10"/>
    <s v="0-50"/>
    <s v="Others"/>
    <x v="1"/>
    <s v="&gt; 50"/>
    <n v="2195257640.7932038"/>
  </r>
  <r>
    <x v="108"/>
    <x v="108"/>
    <n v="3.2763923506172521E-2"/>
    <n v="-0.57220062999999999"/>
    <n v="-7.5617918099999999"/>
    <n v="350467951.26025826"/>
    <n v="24161612.346684732"/>
    <n v="10696763810.788176"/>
    <n v="2.2587777737334575E-3"/>
    <n v="109"/>
    <x v="4"/>
    <n v="3.2952477791697223E-2"/>
    <n v="-1.885542855247016E-4"/>
    <s v="&lt;10"/>
    <s v="0-50"/>
    <s v="Others"/>
    <x v="1"/>
    <s v="&gt; 50"/>
    <n v="3682410587.1587443"/>
  </r>
  <r>
    <x v="109"/>
    <x v="109"/>
    <n v="0.81503951315228895"/>
    <n v="-0.22853483999999999"/>
    <n v="-6.6995410099999999"/>
    <n v="350353305.24391037"/>
    <n v="14942382.901508089"/>
    <n v="429860515.45999998"/>
    <n v="3.4761003544412604E-2"/>
    <n v="110"/>
    <x v="2"/>
    <n v="0.81690642895264565"/>
    <n v="-1.8669158003566944E-3"/>
    <s v="&lt;10"/>
    <s v="0-50"/>
    <s v="Others"/>
    <x v="1"/>
    <s v="&gt; 50"/>
    <n v="260071273.49179184"/>
  </r>
  <r>
    <x v="110"/>
    <x v="110"/>
    <n v="0.40010507853891308"/>
    <n v="-0.79759882000000004"/>
    <n v="-9.6302313900000005"/>
    <n v="349491983.01341927"/>
    <n v="57488865.198472567"/>
    <n v="873500492.144912"/>
    <n v="6.5814347805696796E-2"/>
    <n v="111"/>
    <x v="4"/>
    <n v="0.40332196981092577"/>
    <n v="-3.2168912720126897E-3"/>
    <s v="&lt;10"/>
    <s v="0-50"/>
    <s v="Others"/>
    <x v="0"/>
    <s v="&gt; 50"/>
    <n v="407664158.1202442"/>
  </r>
  <r>
    <x v="111"/>
    <x v="111"/>
    <n v="3.4838122629557887E-7"/>
    <n v="-0.32133602999999999"/>
    <n v="1.0591765200000001"/>
    <n v="348377742.48331594"/>
    <n v="28075216.44736588"/>
    <n v="999990000000000"/>
    <n v="2.8075497202337905E-8"/>
    <n v="112"/>
    <x v="4"/>
    <n v="3.4950430956862557E-7"/>
    <n v="-1.1230832730466949E-9"/>
    <s v="&lt;10"/>
    <s v="0-50"/>
    <s v="Others"/>
    <x v="0"/>
    <s v="&gt; 50"/>
    <n v="333330116125914.06"/>
  </r>
  <r>
    <x v="112"/>
    <x v="112"/>
    <n v="130.38557423772559"/>
    <n v="-0.71832927999999996"/>
    <n v="-6.2066785500000003"/>
    <n v="344122164.28274661"/>
    <n v="6421370.8919910304"/>
    <n v="2639265.6265433598"/>
    <n v="2.4330142549543545"/>
    <n v="113"/>
    <x v="1"/>
    <n v="131.32894852811918"/>
    <n v="-0.94337429039359222"/>
    <s v="&gt;=10"/>
    <s v="&gt;50"/>
    <s v="Others"/>
    <x v="1"/>
    <s v="&gt; 50"/>
    <n v="115587143.06365357"/>
  </r>
  <r>
    <x v="113"/>
    <x v="113"/>
    <n v="7.9259465461253439E-2"/>
    <n v="-0.39200117000000001"/>
    <n v="-6.1853150299999999"/>
    <n v="337799810.89722717"/>
    <n v="24179208.153844099"/>
    <n v="4261949143"/>
    <n v="5.6732746784548147E-3"/>
    <n v="114"/>
    <x v="4"/>
    <n v="7.9571386226245544E-2"/>
    <n v="-3.1192076499210464E-4"/>
    <s v="&lt;10"/>
    <s v="0-50"/>
    <s v="Others"/>
    <x v="0"/>
    <s v="&gt; 50"/>
    <n v="1533249651.1684086"/>
  </r>
  <r>
    <x v="114"/>
    <x v="114"/>
    <n v="5.8708060937179063E-2"/>
    <n v="-0.91674644999999999"/>
    <n v="-7.6527361000000003"/>
    <n v="337570326.25455374"/>
    <n v="37419522.992183156"/>
    <n v="5749982555.4751844"/>
    <n v="6.5077628725241877E-3"/>
    <n v="115"/>
    <x v="4"/>
    <n v="5.9251244618802747E-2"/>
    <n v="-5.4318368162368375E-4"/>
    <s v="&lt;10"/>
    <s v="0-50"/>
    <s v="Others"/>
    <x v="1"/>
    <s v="&gt; 50"/>
    <n v="2029184293.6043308"/>
  </r>
  <r>
    <x v="115"/>
    <x v="115"/>
    <n v="0.13936544281868443"/>
    <n v="-1.4660366300000001"/>
    <n v="-3.9502529499999999"/>
    <n v="335970263.97771865"/>
    <n v="24513857.2812328"/>
    <n v="2410714286"/>
    <n v="1.0168711167306204E-2"/>
    <n v="116"/>
    <x v="4"/>
    <n v="0.1414389902244774"/>
    <n v="-2.0735474057929637E-3"/>
    <s v="&lt;10"/>
    <s v="0-50"/>
    <s v="Others"/>
    <x v="1"/>
    <s v="&gt; 50"/>
    <n v="915561516.17056072"/>
  </r>
  <r>
    <x v="116"/>
    <x v="116"/>
    <n v="16.804953208605355"/>
    <n v="-0.57289869000000004"/>
    <n v="-4.2319155500000001"/>
    <n v="335789537.9401961"/>
    <n v="24294416.066703219"/>
    <n v="19981581.25"/>
    <n v="1.2158405164607891"/>
    <n v="117"/>
    <x v="5"/>
    <n v="16.901783303739116"/>
    <n v="-9.6830095133761063E-2"/>
    <s v="&gt;=10"/>
    <s v="0-50"/>
    <s v="Others"/>
    <x v="0"/>
    <s v="&gt; 50"/>
    <n v="118590372.87243247"/>
  </r>
  <r>
    <x v="117"/>
    <x v="117"/>
    <n v="6.0836569831439036E-2"/>
    <n v="-0.87430492000000004"/>
    <n v="-10.29409708"/>
    <n v="316723981.11345029"/>
    <n v="60706980.897529528"/>
    <n v="5206144626.3489714"/>
    <n v="1.1660640503585637E-2"/>
    <n v="118"/>
    <x v="4"/>
    <n v="6.1373158374668155E-2"/>
    <n v="-5.3658854322911897E-4"/>
    <s v="&lt;10"/>
    <s v="0-50"/>
    <s v="Others"/>
    <x v="1"/>
    <s v="&gt; 50"/>
    <n v="1840956202.196039"/>
  </r>
  <r>
    <x v="118"/>
    <x v="118"/>
    <n v="6.0763815498638775E-2"/>
    <n v="-1.1061206299999999"/>
    <n v="-9.0564413399999992"/>
    <n v="314635433.11761856"/>
    <n v="20550762.791840229"/>
    <n v="5178006524.6999998"/>
    <n v="3.9688561020171532E-3"/>
    <n v="119"/>
    <x v="4"/>
    <n v="6.144345422156814E-2"/>
    <n v="-6.7963872292936545E-4"/>
    <s v="&lt;10"/>
    <s v="0-50"/>
    <s v="Others"/>
    <x v="0"/>
    <s v="&gt; 50"/>
    <n v="1830880652.2371657"/>
  </r>
  <r>
    <x v="119"/>
    <x v="119"/>
    <n v="6.285669701689315E-3"/>
    <n v="-6.8679240000000003E-2"/>
    <n v="-5.7339418699999998"/>
    <n v="310794936.37082279"/>
    <n v="29193539.033721041"/>
    <n v="49444999677.169579"/>
    <n v="5.904244963965624E-4"/>
    <n v="120"/>
    <x v="4"/>
    <n v="6.2899896187555556E-3"/>
    <n v="-4.3199170662406791E-6"/>
    <s v="&lt;10"/>
    <s v="0-50"/>
    <s v="Others"/>
    <x v="1"/>
    <s v="&gt; 50"/>
    <n v="16585264871.157242"/>
  </r>
  <r>
    <x v="120"/>
    <x v="120"/>
    <n v="7.9809752283635031"/>
    <n v="-1.1062634"/>
    <n v="-10.24122938"/>
    <n v="304902647.08545244"/>
    <n v="34514945.95363161"/>
    <n v="38203682.928605288"/>
    <n v="0.90344551382998439"/>
    <n v="121"/>
    <x v="6"/>
    <n v="8.0702534889995281"/>
    <n v="-8.9278260636024953E-2"/>
    <s v="&lt;10"/>
    <s v="0-50"/>
    <s v="Others"/>
    <x v="0"/>
    <s v="&gt; 50"/>
    <n v="114368776.30259812"/>
  </r>
  <r>
    <x v="121"/>
    <x v="121"/>
    <n v="3.1972849187690143E-3"/>
    <n v="-1.3710924900000001"/>
    <n v="-10.597413299999999"/>
    <n v="304377339.07817876"/>
    <n v="2175191.5583892302"/>
    <n v="95198691017.929993"/>
    <n v="2.2848964992381547E-5"/>
    <n v="122"/>
    <x v="4"/>
    <n v="3.2417320636394975E-3"/>
    <n v="-4.4447144870483207E-5"/>
    <s v="&lt;10"/>
    <s v="0-50"/>
    <s v="Others"/>
    <x v="1"/>
    <s v="&gt; 50"/>
    <n v="31834356118.545696"/>
  </r>
  <r>
    <x v="122"/>
    <x v="122"/>
    <n v="0.11219290056957572"/>
    <n v="-0.38558787999999999"/>
    <n v="-7.5269425999999999"/>
    <n v="299250912.25534415"/>
    <n v="56207123.791446947"/>
    <n v="2667289202.2233224"/>
    <n v="2.1072751970275822E-2"/>
    <n v="123"/>
    <x v="4"/>
    <n v="0.11262717731488804"/>
    <n v="-4.3427674531232308E-4"/>
    <s v="&lt;10"/>
    <s v="0-50"/>
    <s v="Others"/>
    <x v="1"/>
    <s v="&gt; 50"/>
    <n v="988846704.69769287"/>
  </r>
  <r>
    <x v="123"/>
    <x v="123"/>
    <n v="0.31925072251785719"/>
    <n v="-1.4079621200000001"/>
    <n v="-13.00111298"/>
    <n v="297220216.66398001"/>
    <n v="17292722.837986201"/>
    <n v="930993090.07000005"/>
    <n v="1.8574491070267755E-2"/>
    <n v="124"/>
    <x v="4"/>
    <n v="0.32380984244024752"/>
    <n v="-4.5591199223903311E-3"/>
    <s v="&lt;10"/>
    <s v="0-50"/>
    <s v="Others"/>
    <x v="1"/>
    <s v="&gt; 50"/>
    <n v="409404435.10867262"/>
  </r>
  <r>
    <x v="124"/>
    <x v="124"/>
    <n v="17.08973305924523"/>
    <n v="-1.02903279"/>
    <n v="-5.8544280000000004"/>
    <n v="294800537.44565821"/>
    <n v="4265929.6292276001"/>
    <n v="17250154.605906881"/>
    <n v="0.24729805191234866"/>
    <n v="125"/>
    <x v="5"/>
    <n v="17.267420477950516"/>
    <n v="-0.17768741870528615"/>
    <s v="&gt;=10"/>
    <s v="0-50"/>
    <s v="Others"/>
    <x v="0"/>
    <s v="&gt; 50"/>
    <n v="104016897.00751078"/>
  </r>
  <r>
    <x v="125"/>
    <x v="125"/>
    <n v="1.7993701531126363"/>
    <n v="-1.9802055000000001"/>
    <n v="-8.1869369400000007"/>
    <n v="293652658.93017012"/>
    <n v="64879662.058241472"/>
    <n v="163197471.30527633"/>
    <n v="0.39755310875422767"/>
    <n v="126"/>
    <x v="3"/>
    <n v="1.8357212053863632"/>
    <n v="-3.6351052273726925E-2"/>
    <s v="&lt;10"/>
    <s v="0-50"/>
    <s v="Others"/>
    <x v="1"/>
    <s v="&gt; 50"/>
    <n v="152283376.08508033"/>
  </r>
  <r>
    <x v="126"/>
    <x v="126"/>
    <n v="0.28753772023741936"/>
    <n v="-1.3596209800000001"/>
    <n v="-6.9903941200000004"/>
    <n v="287204044.24051559"/>
    <n v="131725055.2764886"/>
    <n v="998839540.09015501"/>
    <n v="0.13187809451816368"/>
    <n v="127"/>
    <x v="4"/>
    <n v="0.29150102938992067"/>
    <n v="-3.9633091525013153E-3"/>
    <s v="&lt;10"/>
    <s v="0-50"/>
    <s v="Others"/>
    <x v="0"/>
    <s v="&gt; 50"/>
    <n v="428681194.3236832"/>
  </r>
  <r>
    <x v="127"/>
    <x v="127"/>
    <n v="2.7970084835463958E-3"/>
    <n v="-4.962826E-2"/>
    <n v="-2.9630608600000001"/>
    <n v="275977093.25525403"/>
    <n v="7319892.4726617998"/>
    <n v="98668665067.949997"/>
    <n v="7.418659680477911E-5"/>
    <n v="128"/>
    <x v="4"/>
    <n v="2.7983972794240614E-3"/>
    <n v="-1.3887958776655912E-6"/>
    <s v="&lt;10"/>
    <s v="0-50"/>
    <s v="Others"/>
    <x v="0"/>
    <s v="&gt; 50"/>
    <n v="32981547387.051876"/>
  </r>
  <r>
    <x v="128"/>
    <x v="128"/>
    <n v="3.7850140095921206E-2"/>
    <n v="-3.46412845"/>
    <n v="29.889913870000001"/>
    <n v="273954729.87026024"/>
    <n v="741026352.27478123"/>
    <n v="7237878887"/>
    <n v="0.10238170102649041"/>
    <n v="129"/>
    <x v="4"/>
    <n v="3.9208368338309374E-2"/>
    <n v="-1.3582282423881681E-3"/>
    <s v="&lt;10"/>
    <s v="0-50"/>
    <s v="Others"/>
    <x v="1"/>
    <s v="&gt; 50"/>
    <n v="2503944537.8020439"/>
  </r>
  <r>
    <x v="129"/>
    <x v="129"/>
    <n v="0.26467199396360969"/>
    <n v="-1.96034412"/>
    <n v="-33.144207989999998"/>
    <n v="264671002.23764831"/>
    <n v="65711354.574785613"/>
    <n v="999996253"/>
    <n v="6.5711600796153791E-2"/>
    <n v="130"/>
    <x v="4"/>
    <n v="0.26996422171000556"/>
    <n v="-5.2922277463958722E-3"/>
    <s v="&lt;10"/>
    <s v="0-50"/>
    <s v="Others"/>
    <x v="1"/>
    <s v="&gt; 50"/>
    <n v="421555751.0924347"/>
  </r>
  <r>
    <x v="130"/>
    <x v="130"/>
    <n v="2.6057200873447553E-3"/>
    <n v="-0.52993124999999996"/>
    <n v="-6.6330624399999998"/>
    <n v="255237801.94314286"/>
    <n v="12328034.60372719"/>
    <n v="97952885723.512894"/>
    <n v="1.2585677810988608E-4"/>
    <n v="131"/>
    <x v="4"/>
    <n v="2.6196021779111875E-3"/>
    <n v="-1.3882090566432175E-5"/>
    <s v="&lt;10"/>
    <s v="0-50"/>
    <s v="Others"/>
    <x v="1"/>
    <s v="&gt; 50"/>
    <n v="32736041174.975368"/>
  </r>
  <r>
    <x v="131"/>
    <x v="131"/>
    <n v="5.3445214664735218E-3"/>
    <n v="-0.71146549999999997"/>
    <n v="-7.6662985199999998"/>
    <n v="252144872.21550348"/>
    <n v="38406733.28807047"/>
    <n v="47178194305.556107"/>
    <n v="8.1407806834072423E-4"/>
    <n v="132"/>
    <x v="4"/>
    <n v="5.382818362047152E-3"/>
    <n v="-3.8296895573630176E-5"/>
    <s v="&lt;10"/>
    <s v="0-50"/>
    <s v="Others"/>
    <x v="1"/>
    <s v="&gt; 50"/>
    <n v="15810113059.020048"/>
  </r>
  <r>
    <x v="132"/>
    <x v="132"/>
    <n v="0.24787303153836143"/>
    <n v="-1.1125177799999999"/>
    <n v="-15.291306730000001"/>
    <n v="247872599.24779442"/>
    <n v="91633900.124852136"/>
    <n v="999998256"/>
    <n v="9.1634059934652665E-2"/>
    <n v="133"/>
    <x v="4"/>
    <n v="0.25066168737809069"/>
    <n v="-2.7886558397292593E-3"/>
    <s v="&lt;10"/>
    <s v="0-50"/>
    <s v="Others"/>
    <x v="1"/>
    <s v="&gt; 50"/>
    <n v="415956951.37842554"/>
  </r>
  <r>
    <x v="133"/>
    <x v="133"/>
    <n v="0.12314070528592488"/>
    <n v="-0.31870938999999998"/>
    <n v="-7.3030524000000003"/>
    <n v="242553819.55895558"/>
    <n v="33826142.237117477"/>
    <n v="1969729010.368757"/>
    <n v="1.7172992863005464E-2"/>
    <n v="134"/>
    <x v="4"/>
    <n v="0.12353442108580751"/>
    <n v="-3.9371579988262129E-4"/>
    <s v="&lt;10"/>
    <s v="0-50"/>
    <s v="Others"/>
    <x v="0"/>
    <s v="&gt; 50"/>
    <n v="737427609.86966765"/>
  </r>
  <r>
    <x v="134"/>
    <x v="134"/>
    <n v="2.8796899775276081"/>
    <n v="-5.0970170000000002E-2"/>
    <n v="-6.8581888700000002"/>
    <n v="241127043.83357725"/>
    <n v="6365494.7486231104"/>
    <n v="83733681.651592135"/>
    <n v="7.6020719775697035E-2"/>
    <n v="135"/>
    <x v="6"/>
    <n v="2.8811585089175726"/>
    <n v="-1.4685313899645003E-3"/>
    <s v="&lt;10"/>
    <s v="0-50"/>
    <s v="Others"/>
    <x v="0"/>
    <s v="&gt; 50"/>
    <n v="108286908.4780664"/>
  </r>
  <r>
    <x v="135"/>
    <x v="135"/>
    <n v="0.8951060768365332"/>
    <n v="-1.36349331"/>
    <n v="-9.0884606600000009"/>
    <n v="240466925.7227897"/>
    <n v="34532426.201847717"/>
    <n v="268646288.90985"/>
    <n v="0.12854235337468523"/>
    <n v="136"/>
    <x v="2"/>
    <n v="0.90747949909633319"/>
    <n v="-1.2373422259799982E-2"/>
    <s v="&lt;10"/>
    <s v="0-50"/>
    <s v="Others"/>
    <x v="1"/>
    <s v="&gt; 50"/>
    <n v="169704404.42304879"/>
  </r>
  <r>
    <x v="136"/>
    <x v="136"/>
    <n v="0.13332160518606487"/>
    <n v="-0.97131440000000002"/>
    <n v="-8.3023854299999993"/>
    <n v="239978889.33491677"/>
    <n v="80233780.207519025"/>
    <n v="1800000000"/>
    <n v="4.4574322337510568E-2"/>
    <n v="137"/>
    <x v="4"/>
    <n v="0.13462927875725017"/>
    <n v="-1.3076735711853027E-3"/>
    <s v="&lt;10"/>
    <s v="0-50"/>
    <s v="Others"/>
    <x v="1"/>
    <s v="&gt; 50"/>
    <n v="679992962.78786743"/>
  </r>
  <r>
    <x v="137"/>
    <x v="137"/>
    <n v="0.23997035746110276"/>
    <n v="-0.72432288"/>
    <n v="-9.28685106"/>
    <n v="239970357.46110275"/>
    <n v="16020461.13793589"/>
    <n v="1000000000"/>
    <n v="1.6020461137935892E-2"/>
    <n v="138"/>
    <x v="4"/>
    <n v="0.24172119941427073"/>
    <n v="-1.7508419531679642E-3"/>
    <s v="&lt;10"/>
    <s v="0-50"/>
    <s v="Others"/>
    <x v="1"/>
    <s v="&gt; 50"/>
    <n v="413323452.24559331"/>
  </r>
  <r>
    <x v="138"/>
    <x v="138"/>
    <n v="6.3500337044308528E-3"/>
    <n v="-2.1047810899999999"/>
    <n v="-5.2139933100000002"/>
    <n v="233558091.9929511"/>
    <n v="31771253.054983929"/>
    <n v="36780606665.12394"/>
    <n v="8.6380448653964226E-4"/>
    <n v="139"/>
    <x v="4"/>
    <n v="6.4865616269460082E-3"/>
    <n v="-1.3652792251515541E-4"/>
    <s v="&lt;10"/>
    <s v="0-50"/>
    <s v="Others"/>
    <x v="0"/>
    <s v="&gt; 50"/>
    <n v="12338054918.33737"/>
  </r>
  <r>
    <x v="139"/>
    <x v="139"/>
    <n v="3.2709111958425696"/>
    <n v="-0.50274777000000004"/>
    <n v="-5.9375116999999999"/>
    <n v="230726252.05954692"/>
    <n v="19163017.840465572"/>
    <n v="70538831"/>
    <n v="0.27166622367849519"/>
    <n v="140"/>
    <x v="6"/>
    <n v="3.2874387207010103"/>
    <n v="-1.6527524858440668E-2"/>
    <s v="&lt;10"/>
    <s v="0-50"/>
    <s v="Others"/>
    <x v="1"/>
    <s v="&gt; 50"/>
    <n v="100421694.18559973"/>
  </r>
  <r>
    <x v="140"/>
    <x v="140"/>
    <n v="2.0571420788262372E-2"/>
    <n v="-3.1699956999999999"/>
    <n v="0.93145518000000005"/>
    <n v="222800488.42148367"/>
    <n v="116544719.73873447"/>
    <n v="10830583396"/>
    <n v="1.0760705631219948E-2"/>
    <n v="141"/>
    <x v="4"/>
    <n v="2.1244882654892511E-2"/>
    <n v="-6.7346186663013938E-4"/>
    <s v="&lt;10"/>
    <s v="0-50"/>
    <s v="Others"/>
    <x v="1"/>
    <s v="&gt; 50"/>
    <n v="3684461293.7504959"/>
  </r>
  <r>
    <x v="141"/>
    <x v="141"/>
    <n v="0.14802558037305058"/>
    <n v="-0.89586737000000005"/>
    <n v="-9.6939278299999998"/>
    <n v="221403852.53719127"/>
    <n v="22021296.01245413"/>
    <n v="1495713456.9526057"/>
    <n v="1.4722937679066368E-2"/>
    <n v="142"/>
    <x v="4"/>
    <n v="0.14936368085243851"/>
    <n v="-1.338100479387927E-3"/>
    <s v="&lt;10"/>
    <s v="0-50"/>
    <s v="Others"/>
    <x v="0"/>
    <s v="&gt; 50"/>
    <n v="572372436.19797647"/>
  </r>
  <r>
    <x v="142"/>
    <x v="142"/>
    <n v="21.968716644783374"/>
    <n v="-1.0486155800000001"/>
    <n v="-7.7227884099999997"/>
    <n v="218913591.02718726"/>
    <n v="33006808.80450891"/>
    <n v="9964787.4096081909"/>
    <n v="3.3123445034746322"/>
    <n v="143"/>
    <x v="5"/>
    <n v="22.201525298056435"/>
    <n v="-0.23280865327306088"/>
    <s v="&gt;=10"/>
    <s v="0-50"/>
    <s v="Others"/>
    <x v="0"/>
    <s v="&gt; 50"/>
    <n v="76292792.462726623"/>
  </r>
  <r>
    <x v="143"/>
    <x v="143"/>
    <n v="0.21773544067514311"/>
    <n v="-0.3634193"/>
    <n v="-4.5102545999999997"/>
    <n v="217735440.67514312"/>
    <n v="9545613.1627575494"/>
    <n v="1000000000"/>
    <n v="9.5456131627575502E-3"/>
    <n v="144"/>
    <x v="4"/>
    <n v="0.21852961948858118"/>
    <n v="-7.9417881343807339E-4"/>
    <s v="&lt;10"/>
    <s v="0-50"/>
    <s v="Others"/>
    <x v="1"/>
    <s v="&gt; 50"/>
    <n v="405911813.43724126"/>
  </r>
  <r>
    <x v="144"/>
    <x v="144"/>
    <n v="0.11967183970392617"/>
    <n v="-1.3369418500000001"/>
    <n v="-14.543356080000001"/>
    <n v="215409311.46706709"/>
    <n v="132732198.58290468"/>
    <n v="1800000000"/>
    <n v="7.3740110323835928E-2"/>
    <n v="145"/>
    <x v="4"/>
    <n v="0.12129346276899908"/>
    <n v="-1.621623065072908E-3"/>
    <s v="&lt;10"/>
    <s v="0-50"/>
    <s v="Others"/>
    <x v="1"/>
    <s v="&gt; 50"/>
    <n v="671803103.37670839"/>
  </r>
  <r>
    <x v="145"/>
    <x v="145"/>
    <n v="2.4060397771942969E-2"/>
    <n v="-1.13088872"/>
    <n v="-9.9029429100000002"/>
    <n v="211730524.6468569"/>
    <n v="25352097.384700999"/>
    <n v="8799959445.9638424"/>
    <n v="2.8809334338840507E-3"/>
    <n v="146"/>
    <x v="4"/>
    <n v="2.4335606399660325E-2"/>
    <n v="-2.7520862771735627E-4"/>
    <s v="&lt;10"/>
    <s v="0-50"/>
    <s v="Others"/>
    <x v="1"/>
    <s v="&gt; 50"/>
    <n v="3003896656.4932704"/>
  </r>
  <r>
    <x v="146"/>
    <x v="146"/>
    <n v="2.6212842733273813"/>
    <n v="0.33006585999999999"/>
    <n v="-9.3379246699999996"/>
    <n v="203234837.78734002"/>
    <n v="7908612.6169536998"/>
    <n v="77532543.820346385"/>
    <n v="0.10200378095782653"/>
    <n v="147"/>
    <x v="6"/>
    <n v="2.6126607720811292"/>
    <n v="8.6235012462521077E-3"/>
    <s v="&lt;10"/>
    <s v="0-50"/>
    <s v="Others"/>
    <x v="1"/>
    <s v="&gt; 50"/>
    <n v="93589127.312584087"/>
  </r>
  <r>
    <x v="147"/>
    <x v="147"/>
    <n v="8.6515026925269536E-2"/>
    <n v="-0.52183913999999998"/>
    <n v="-1.1699141500000001"/>
    <n v="202445163.00513071"/>
    <n v="112578621.94563589"/>
    <n v="2340000000"/>
    <n v="4.8110522198989696E-2"/>
    <n v="148"/>
    <x v="4"/>
    <n v="8.6968864499843285E-2"/>
    <n v="-4.5383757457374829E-4"/>
    <s v="&lt;10"/>
    <s v="0-50"/>
    <s v="Others"/>
    <x v="1"/>
    <s v="&gt; 50"/>
    <n v="847481720.82776392"/>
  </r>
  <r>
    <x v="148"/>
    <x v="148"/>
    <n v="2.0040778614439017"/>
    <n v="-1.6843187799999999"/>
    <n v="-8.9506535700000001"/>
    <n v="199414235.2887896"/>
    <n v="13864526.4771725"/>
    <n v="99504235.401869699"/>
    <n v="0.13933604354807175"/>
    <n v="149"/>
    <x v="6"/>
    <n v="2.0384112041693503"/>
    <n v="-3.4333342725448635E-2"/>
    <s v="&lt;10"/>
    <s v="0-50"/>
    <s v="Others"/>
    <x v="0"/>
    <s v="&gt; 50"/>
    <n v="99639489.668780163"/>
  </r>
  <r>
    <x v="149"/>
    <x v="149"/>
    <n v="3.6015223359522691E-5"/>
    <n v="-0.69420190000000004"/>
    <n v="-3.6498812799999998"/>
    <n v="196942911.89319828"/>
    <n v="13287590.107046969"/>
    <n v="5468324045285.2871"/>
    <n v="2.4299200261373216E-6"/>
    <n v="150"/>
    <x v="4"/>
    <n v="3.6266989489632518E-5"/>
    <n v="-2.5176613010982759E-7"/>
    <s v="&lt;10"/>
    <s v="0-50"/>
    <s v="Others"/>
    <x v="1"/>
    <s v="&gt; 50"/>
    <n v="1822840329398.8289"/>
  </r>
  <r>
    <x v="150"/>
    <x v="150"/>
    <n v="9.6026482481443936E-6"/>
    <n v="-0.66876952000000001"/>
    <n v="-5.4271009699999997"/>
    <n v="191876021.0215064"/>
    <n v="6314991.2209310997"/>
    <n v="19981573422580"/>
    <n v="3.1604073850335028E-7"/>
    <n v="151"/>
    <x v="4"/>
    <n v="9.6673002053245013E-6"/>
    <n v="-6.4651957180107678E-8"/>
    <s v="&lt;10"/>
    <s v="0-50"/>
    <s v="Others"/>
    <x v="0"/>
    <s v="&gt; 50"/>
    <n v="6660588432866.7842"/>
  </r>
  <r>
    <x v="151"/>
    <x v="151"/>
    <n v="0.19019961326095911"/>
    <n v="8.7746690000000002E-2"/>
    <n v="-7.8323326499999997"/>
    <n v="190199613.26095912"/>
    <n v="6332385.0652432097"/>
    <n v="1000000000"/>
    <n v="6.3323850652432095E-3"/>
    <n v="152"/>
    <x v="4"/>
    <n v="0.19003286571138522"/>
    <n v="1.6674754957388127E-4"/>
    <s v="&lt;10"/>
    <s v="0-50"/>
    <s v="Others"/>
    <x v="0"/>
    <s v="&gt; 50"/>
    <n v="396733204.44956857"/>
  </r>
  <r>
    <x v="152"/>
    <x v="152"/>
    <n v="2.8863769713561158"/>
    <n v="-1.2159502799999999"/>
    <n v="-9.6827901399999998"/>
    <n v="189497765.97514036"/>
    <n v="35705294.564597279"/>
    <n v="65652466"/>
    <n v="0.543853060517137"/>
    <n v="153"/>
    <x v="6"/>
    <n v="2.9219058942586909"/>
    <n v="-3.5528922902575033E-2"/>
    <s v="&lt;10"/>
    <s v="0-50"/>
    <s v="Others"/>
    <x v="0"/>
    <s v="&gt; 50"/>
    <n v="85050076.919730023"/>
  </r>
  <r>
    <x v="153"/>
    <x v="153"/>
    <n v="1.0077048047513748"/>
    <n v="-0.22330425000000001"/>
    <n v="-11.01070395"/>
    <n v="187757008.59901443"/>
    <n v="8689169.0596909299"/>
    <n v="186321438.2959488"/>
    <n v="4.6635369172543892E-2"/>
    <n v="154"/>
    <x v="3"/>
    <n v="1.009960088552416"/>
    <n v="-2.2552838010412302E-3"/>
    <s v="&lt;10"/>
    <s v="0-50"/>
    <s v="Others"/>
    <x v="1"/>
    <s v="&gt; 50"/>
    <n v="124692815.55721967"/>
  </r>
  <r>
    <x v="154"/>
    <x v="154"/>
    <n v="0.83090162498184206"/>
    <n v="0.51442147999999999"/>
    <n v="6.7532004900000002"/>
    <n v="177184784.45582467"/>
    <n v="89206628.282835215"/>
    <n v="213243998"/>
    <n v="0.4183312502086704"/>
    <n v="156"/>
    <x v="2"/>
    <n v="0.82664916411738176"/>
    <n v="4.2524608644602946E-3"/>
    <s v="&lt;10"/>
    <s v="0-50"/>
    <s v="Others"/>
    <x v="1"/>
    <s v="&gt; 50"/>
    <n v="130142927.65674873"/>
  </r>
  <r>
    <x v="155"/>
    <x v="155"/>
    <n v="0.51020557244019449"/>
    <n v="-0.90218339000000003"/>
    <n v="-6.9835034900000004"/>
    <n v="179070096.19739249"/>
    <n v="79622921.665407702"/>
    <n v="350976363"/>
    <n v="0.22686120793099593"/>
    <n v="155"/>
    <x v="2"/>
    <n v="0.51485046784442412"/>
    <n v="-4.644895404229632E-3"/>
    <s v="&lt;10"/>
    <s v="0-50"/>
    <s v="Others"/>
    <x v="1"/>
    <s v="&gt; 50"/>
    <n v="176682152.76506969"/>
  </r>
  <r>
    <x v="156"/>
    <x v="156"/>
    <n v="5.068256134811993E-2"/>
    <n v="-1.29953846"/>
    <n v="-8.8232009900000001"/>
    <n v="176802445.69806635"/>
    <n v="61428550.914834291"/>
    <n v="3488427597.091536"/>
    <n v="1.7609237745410032E-2"/>
    <n v="157"/>
    <x v="4"/>
    <n v="5.1349872692925534E-2"/>
    <n v="-6.673113448056045E-4"/>
    <s v="&lt;10"/>
    <s v="0-50"/>
    <s v="Others"/>
    <x v="1"/>
    <s v="&gt; 50"/>
    <n v="1221743347.1633546"/>
  </r>
  <r>
    <x v="157"/>
    <x v="157"/>
    <n v="1.920511303066101"/>
    <n v="-1.079807E-2"/>
    <n v="-1.1267392599999999"/>
    <n v="176374637.99045673"/>
    <n v="12114162.65145367"/>
    <n v="91837334"/>
    <n v="0.13190891028537119"/>
    <n v="158"/>
    <x v="3"/>
    <n v="1.9207187036162205"/>
    <n v="-2.0740055011958525E-4"/>
    <s v="&lt;10"/>
    <s v="0-50"/>
    <s v="Others"/>
    <x v="1"/>
    <s v="&gt; 50"/>
    <n v="89403990.659886226"/>
  </r>
  <r>
    <x v="158"/>
    <x v="158"/>
    <n v="0.34455550520297706"/>
    <n v="-0.69250807000000003"/>
    <n v="-6.03617968"/>
    <n v="172277166.7199966"/>
    <n v="16532380.672628211"/>
    <n v="499998299.602"/>
    <n v="3.3064873792146954E-2"/>
    <n v="159"/>
    <x v="4"/>
    <n v="0.34695821886816736"/>
    <n v="-2.4027136651902925E-3"/>
    <s v="&lt;10"/>
    <s v="0-50"/>
    <s v="Others"/>
    <x v="0"/>
    <s v="&gt; 50"/>
    <n v="224091821.87649617"/>
  </r>
  <r>
    <x v="159"/>
    <x v="159"/>
    <n v="5.9416456390798823E-2"/>
    <n v="-9.2305620000000005E-2"/>
    <n v="-10.1945902"/>
    <n v="171119394.40550062"/>
    <n v="33920845.602141447"/>
    <n v="2880000000"/>
    <n v="1.1778071389632447E-2"/>
    <n v="160"/>
    <x v="4"/>
    <n v="5.9471351790791695E-2"/>
    <n v="-5.4895399992871408E-5"/>
    <s v="&lt;10"/>
    <s v="0-50"/>
    <s v="Others"/>
    <x v="1"/>
    <s v="&gt; 50"/>
    <n v="1017039798.1043984"/>
  </r>
  <r>
    <x v="160"/>
    <x v="160"/>
    <n v="0.28898102881957133"/>
    <n v="-0.74286938999999996"/>
    <n v="-9.9761513900000001"/>
    <n v="170358031.57015711"/>
    <n v="41213023.355814368"/>
    <n v="589512855.79553437"/>
    <n v="6.9910304670452547E-2"/>
    <n v="161"/>
    <x v="4"/>
    <n v="0.29114384734234594"/>
    <n v="-2.1628185227746122E-3"/>
    <s v="&lt;10"/>
    <s v="0-50"/>
    <s v="Others"/>
    <x v="0"/>
    <s v="&gt; 50"/>
    <n v="253290295.54094067"/>
  </r>
  <r>
    <x v="161"/>
    <x v="161"/>
    <n v="0.7559534739553273"/>
    <n v="-0.83740513000000005"/>
    <n v="-1.12024331"/>
    <n v="170089531.63994864"/>
    <n v="16930109.438480619"/>
    <n v="225000000"/>
    <n v="7.524493083769164E-2"/>
    <n v="162"/>
    <x v="2"/>
    <n v="0.76233732582973035"/>
    <n v="-6.3838518744030459E-3"/>
    <s v="&lt;10"/>
    <s v="0-50"/>
    <s v="Others"/>
    <x v="1"/>
    <s v="&gt; 50"/>
    <n v="131696510.26751451"/>
  </r>
  <r>
    <x v="162"/>
    <x v="162"/>
    <n v="0.33480265850793256"/>
    <n v="-8.5144590000000006E-2"/>
    <n v="-6.1566565999999998"/>
    <n v="167401329.25396627"/>
    <n v="3373064.7686017998"/>
    <n v="500000000"/>
    <n v="6.7461295372035993E-3"/>
    <n v="163"/>
    <x v="4"/>
    <n v="0.33508796778424177"/>
    <n v="-2.853092763092091E-4"/>
    <s v="&lt;10"/>
    <s v="0-50"/>
    <s v="Others"/>
    <x v="1"/>
    <s v="&gt; 50"/>
    <n v="222467109.72294056"/>
  </r>
  <r>
    <x v="163"/>
    <x v="163"/>
    <n v="2.1947920146901986E-2"/>
    <n v="0.11142051"/>
    <n v="12.816851639999999"/>
    <n v="164832084.1947732"/>
    <n v="69776186.108803764"/>
    <n v="7510145977"/>
    <n v="9.2909227493706489E-3"/>
    <n v="164"/>
    <x v="4"/>
    <n v="2.1923492879326028E-2"/>
    <n v="2.4427267575958395E-5"/>
    <s v="&lt;10"/>
    <s v="0-50"/>
    <s v="Others"/>
    <x v="0"/>
    <s v="&gt; 50"/>
    <n v="2558326020.4353976"/>
  </r>
  <r>
    <x v="164"/>
    <x v="164"/>
    <n v="0.10342951258585088"/>
    <n v="-1.1845450200000001"/>
    <n v="-11.37656484"/>
    <n v="163116960.43945915"/>
    <n v="18299502.414095841"/>
    <n v="1577083333"/>
    <n v="1.1603383303332292E-2"/>
    <n v="165"/>
    <x v="4"/>
    <n v="0.10466936837641921"/>
    <n v="-1.2398557905683311E-3"/>
    <s v="&lt;10"/>
    <s v="0-50"/>
    <s v="Others"/>
    <x v="1"/>
    <s v="&gt; 50"/>
    <n v="580066764.08497131"/>
  </r>
  <r>
    <x v="165"/>
    <x v="165"/>
    <n v="0.16133978175261712"/>
    <n v="-0.15692813"/>
    <n v="12.04718461"/>
    <n v="161339781.75261712"/>
    <n v="48473215.92931591"/>
    <n v="1000000000"/>
    <n v="4.8473215929315909E-2"/>
    <n v="166"/>
    <x v="4"/>
    <n v="0.16159336720197121"/>
    <n v="-2.5358544935408234E-4"/>
    <s v="&lt;10"/>
    <s v="0-50"/>
    <s v="Others"/>
    <x v="1"/>
    <s v="&gt; 50"/>
    <n v="387113260.53189635"/>
  </r>
  <r>
    <x v="166"/>
    <x v="166"/>
    <n v="8.6028028462647795E-7"/>
    <n v="-0.56322059000000002"/>
    <n v="-7.4389400700000001"/>
    <n v="161298281.88263077"/>
    <n v="3411678.9293268002"/>
    <n v="187495034775398"/>
    <n v="1.8196102811008734E-8"/>
    <n v="167"/>
    <x v="4"/>
    <n v="8.6515300448272829E-7"/>
    <n v="-4.8727198562503397E-9"/>
    <s v="&lt;10"/>
    <s v="0-50"/>
    <s v="Others"/>
    <x v="0"/>
    <s v="&gt; 50"/>
    <n v="62498398691226.437"/>
  </r>
  <r>
    <x v="167"/>
    <x v="167"/>
    <n v="9.941484142064462E-2"/>
    <n v="-0.78759895999999996"/>
    <n v="-7.4470663500000001"/>
    <n v="161002624.60317826"/>
    <n v="44465190.635081187"/>
    <n v="1619502906.2305"/>
    <n v="2.7456073381539558E-2"/>
    <n v="168"/>
    <x v="4"/>
    <n v="0.10020404745628826"/>
    <n v="-7.8920603564364145E-4"/>
    <s v="&lt;10"/>
    <s v="0-50"/>
    <s v="Others"/>
    <x v="1"/>
    <s v="&gt; 50"/>
    <n v="593501843.34869301"/>
  </r>
  <r>
    <x v="168"/>
    <x v="168"/>
    <n v="0.34606524911730174"/>
    <n v="-1.4782490100000001"/>
    <n v="-5.39318689"/>
    <n v="159755548.82665631"/>
    <n v="1344037.1758087"/>
    <n v="461634183.82556468"/>
    <n v="2.9114767122977278E-3"/>
    <n v="169"/>
    <x v="4"/>
    <n v="0.35125771277900603"/>
    <n v="-5.192463661704283E-3"/>
    <s v="&lt;10"/>
    <s v="0-50"/>
    <s v="Others"/>
    <x v="1"/>
    <s v="&gt; 50"/>
    <n v="207129910.39132401"/>
  </r>
  <r>
    <x v="169"/>
    <x v="169"/>
    <n v="0.11238851334742948"/>
    <n v="-0.83358051"/>
    <n v="-3.5937868399999999"/>
    <n v="158198565.59293807"/>
    <n v="27294755.09887087"/>
    <n v="1407604397.2918727"/>
    <n v="1.9390927700555616E-2"/>
    <n v="170"/>
    <x v="4"/>
    <n v="0.11333323712344258"/>
    <n v="-9.4472377601309554E-4"/>
    <s v="&lt;10"/>
    <s v="0-50"/>
    <s v="Others"/>
    <x v="1"/>
    <s v="&gt; 50"/>
    <n v="521934320.68374342"/>
  </r>
  <r>
    <x v="170"/>
    <x v="170"/>
    <n v="3.2464374196679302E-2"/>
    <n v="-1.0601108800000001"/>
    <n v="-12.980571360000001"/>
    <n v="150750105.0397307"/>
    <n v="25037045.527757641"/>
    <n v="4643554935.8333397"/>
    <n v="5.3917840692595262E-3"/>
    <n v="171"/>
    <x v="4"/>
    <n v="3.2812220112056763E-2"/>
    <n v="-3.4784591537746073E-4"/>
    <s v="&lt;10"/>
    <s v="0-50"/>
    <s v="Others"/>
    <x v="0"/>
    <s v="&gt; 50"/>
    <n v="1598101679.9376533"/>
  </r>
  <r>
    <x v="171"/>
    <x v="171"/>
    <n v="5.1367014030389813"/>
    <n v="-0.81054769999999998"/>
    <n v="-8.0442228100000008"/>
    <n v="150083137.46985111"/>
    <n v="11233112.44898021"/>
    <n v="29217804.519659009"/>
    <n v="0.38446120896667935"/>
    <n v="172"/>
    <x v="6"/>
    <n v="5.1786770507643798"/>
    <n v="-4.1975647725398524E-2"/>
    <s v="&lt;10"/>
    <s v="0-50"/>
    <s v="Others"/>
    <x v="1"/>
    <s v="&gt; 50"/>
    <n v="59766980.392987467"/>
  </r>
  <r>
    <x v="172"/>
    <x v="172"/>
    <n v="1.7701402015415323E-3"/>
    <n v="-7.4219320000000005E-2"/>
    <n v="-6.3497596700000001"/>
    <n v="149191216.78032401"/>
    <n v="12582774.900544651"/>
    <n v="84282147058.40834"/>
    <n v="1.4929347839020602E-4"/>
    <n v="173"/>
    <x v="4"/>
    <n v="1.7714549633694513E-3"/>
    <n v="-1.314761827918981E-6"/>
    <s v="&lt;10"/>
    <s v="0-50"/>
    <s v="Others"/>
    <x v="0"/>
    <s v="&gt; 50"/>
    <n v="28143779425.038147"/>
  </r>
  <r>
    <x v="173"/>
    <x v="173"/>
    <n v="0.34445317581597673"/>
    <n v="-2.2321497899999998"/>
    <n v="-12.845221090000001"/>
    <n v="148434158.09112254"/>
    <n v="68451215.19221805"/>
    <n v="430926954.69999999"/>
    <n v="0.15884644588981905"/>
    <n v="174"/>
    <x v="4"/>
    <n v="0.35231742855765996"/>
    <n v="-7.8642527416832309E-3"/>
    <s v="&lt;10"/>
    <s v="0-50"/>
    <s v="Others"/>
    <x v="1"/>
    <s v="&gt; 50"/>
    <n v="193120370.18632424"/>
  </r>
  <r>
    <x v="174"/>
    <x v="174"/>
    <n v="2.9689825610180627"/>
    <n v="-0.75451853000000002"/>
    <n v="-5.0345332899999997"/>
    <n v="146311946.58777514"/>
    <n v="21563980.31995583"/>
    <n v="49280163.685974918"/>
    <n v="0.43757931603812661"/>
    <n v="175"/>
    <x v="6"/>
    <n v="2.9915543932501643"/>
    <n v="-2.2571832232101574E-2"/>
    <s v="&lt;10"/>
    <s v="0-50"/>
    <s v="Others"/>
    <x v="1"/>
    <s v="&gt; 50"/>
    <n v="65197369.839743845"/>
  </r>
  <r>
    <x v="175"/>
    <x v="175"/>
    <n v="3.7459847067679013E-2"/>
    <n v="-0.30465515999999998"/>
    <n v="-5.9772505899999997"/>
    <n v="142886231.80133051"/>
    <n v="11496028.8169301"/>
    <n v="3814383746.5"/>
    <n v="3.013862678992018E-3"/>
    <n v="176"/>
    <x v="4"/>
    <n v="3.7574319169864874E-2"/>
    <n v="-1.1447210218586135E-4"/>
    <s v="&lt;10"/>
    <s v="0-50"/>
    <s v="Others"/>
    <x v="1"/>
    <s v="&gt; 50"/>
    <n v="1319089992.6655586"/>
  </r>
  <r>
    <x v="176"/>
    <x v="176"/>
    <n v="3.7851585409123603E-2"/>
    <n v="-3.0047032300000001"/>
    <n v="-4.1472504800000003"/>
    <n v="142525046.2245982"/>
    <n v="722920264.99552584"/>
    <n v="3765365299.3421116"/>
    <n v="0.19199206651259978"/>
    <n v="177"/>
    <x v="4"/>
    <n v="3.9024145159202037E-2"/>
    <n v="-1.1725597500784335E-3"/>
    <s v="&lt;10"/>
    <s v="0-50"/>
    <s v="Others"/>
    <x v="1"/>
    <s v="&gt; 50"/>
    <n v="1302630114.1873355"/>
  </r>
  <r>
    <x v="177"/>
    <x v="177"/>
    <n v="7.9106879121952396"/>
    <n v="-0.10950239"/>
    <n v="-7.8977870399999999"/>
    <n v="140780263.46666962"/>
    <n v="47302730.779075623"/>
    <n v="17796210.01729073"/>
    <n v="2.658022732543416"/>
    <n v="178"/>
    <x v="6"/>
    <n v="7.9193598004494312"/>
    <n v="-8.6718882541916287E-3"/>
    <s v="&lt;10"/>
    <s v="0-50"/>
    <s v="Others"/>
    <x v="1"/>
    <s v="&gt; 50"/>
    <n v="52858824.458152659"/>
  </r>
  <r>
    <x v="178"/>
    <x v="178"/>
    <n v="2.820332514521076E-3"/>
    <n v="-0.43105486999999998"/>
    <n v="-5.43900264"/>
    <n v="139510579.91844547"/>
    <n v="11936290.369521091"/>
    <n v="49466004168"/>
    <n v="2.4130290227167335E-4"/>
    <n v="179"/>
    <x v="4"/>
    <n v="2.832542326162812E-3"/>
    <n v="-1.220981164173603E-5"/>
    <s v="&lt;10"/>
    <s v="0-50"/>
    <s v="Others"/>
    <x v="0"/>
    <s v="&gt; 50"/>
    <n v="16535171582.495796"/>
  </r>
  <r>
    <x v="179"/>
    <x v="179"/>
    <n v="2.5836294442327646E-2"/>
    <n v="-0.64604174999999997"/>
    <n v="-9.2498728900000007"/>
    <n v="137476103.88549843"/>
    <n v="29583942.918729018"/>
    <n v="5321045717"/>
    <n v="5.5597986734472965E-3"/>
    <n v="180"/>
    <x v="4"/>
    <n v="2.6004293032107401E-2"/>
    <n v="-1.6799858977975535E-4"/>
    <s v="&lt;10"/>
    <s v="0-50"/>
    <s v="Others"/>
    <x v="1"/>
    <s v="&gt; 50"/>
    <n v="1819507273.4131525"/>
  </r>
  <r>
    <x v="180"/>
    <x v="180"/>
    <n v="8.0123631975860081E-3"/>
    <n v="-1.14768779"/>
    <n v="-9.9624507799999993"/>
    <n v="133058210.78349759"/>
    <n v="21857480.214093499"/>
    <n v="16606612494"/>
    <n v="1.3161913799090963E-3"/>
    <n v="181"/>
    <x v="4"/>
    <n v="8.1053877430450928E-3"/>
    <n v="-9.3024545459084729E-5"/>
    <s v="&lt;10"/>
    <s v="0-50"/>
    <s v="Others"/>
    <x v="0"/>
    <s v="&gt; 50"/>
    <n v="5579890234.54527"/>
  </r>
  <r>
    <x v="181"/>
    <x v="181"/>
    <n v="0.37610876275072919"/>
    <n v="-3.1010590000000001E-2"/>
    <n v="-8.4690571800000001"/>
    <n v="129180653.92194119"/>
    <n v="25041779.064384561"/>
    <n v="343466216.99839866"/>
    <n v="7.290900189028289E-2"/>
    <n v="182"/>
    <x v="4"/>
    <n v="0.37622543247707041"/>
    <n v="-1.1666972634122308E-4"/>
    <s v="&lt;10"/>
    <s v="0-50"/>
    <s v="Others"/>
    <x v="1"/>
    <s v="&gt; 50"/>
    <n v="157548956.96310976"/>
  </r>
  <r>
    <x v="182"/>
    <x v="182"/>
    <n v="2.0629761554670297E-3"/>
    <n v="-0.29875132999999998"/>
    <n v="-7.9988592599999997"/>
    <n v="129045706.59851098"/>
    <n v="12283618.177664841"/>
    <n v="62553174091"/>
    <n v="1.9637082140380431E-4"/>
    <n v="183"/>
    <x v="4"/>
    <n v="2.0691577918901002E-3"/>
    <n v="-6.181636423070562E-6"/>
    <s v="&lt;10"/>
    <s v="0-50"/>
    <s v="Others"/>
    <x v="1"/>
    <s v="&gt; 50"/>
    <n v="20894073265.766586"/>
  </r>
  <r>
    <x v="183"/>
    <x v="183"/>
    <n v="0.3882928950675168"/>
    <n v="0.17680371"/>
    <n v="-2.00927056"/>
    <n v="127707632.03316161"/>
    <n v="4057216.8518260899"/>
    <n v="328895103.81320697"/>
    <n v="1.2335899211592855E-2"/>
    <n v="184"/>
    <x v="4"/>
    <n v="0.38760759046732896"/>
    <n v="6.8530460018784156E-4"/>
    <s v="&lt;10"/>
    <s v="0-50"/>
    <s v="Others"/>
    <x v="1"/>
    <s v="&gt; 50"/>
    <n v="152200912.00772408"/>
  </r>
  <r>
    <x v="184"/>
    <x v="184"/>
    <n v="0.12946673481050139"/>
    <n v="-4.0707123200000002"/>
    <n v="-19.33509355"/>
    <n v="126553266.69921644"/>
    <n v="32868198.408701461"/>
    <n v="977496396.154971"/>
    <n v="3.3624879373458663E-2"/>
    <n v="185"/>
    <x v="4"/>
    <n v="0.13496059226706164"/>
    <n v="-5.4938574565602527E-3"/>
    <s v="&lt;10"/>
    <s v="0-50"/>
    <s v="Others"/>
    <x v="0"/>
    <s v="&gt; 50"/>
    <n v="368016552.92782503"/>
  </r>
  <r>
    <x v="185"/>
    <x v="185"/>
    <n v="0.25210851077499241"/>
    <n v="-1.4455425500000001"/>
    <n v="-4.7866527699999999"/>
    <n v="125903614.79978515"/>
    <n v="31924006.815678298"/>
    <n v="499402477.18235302"/>
    <n v="6.3924406213991383E-2"/>
    <n v="186"/>
    <x v="4"/>
    <n v="0.2558062996824832"/>
    <n v="-3.6977889074907844E-3"/>
    <s v="&lt;10"/>
    <s v="0-50"/>
    <s v="Others"/>
    <x v="1"/>
    <s v="&gt; 50"/>
    <n v="208435363.51219854"/>
  </r>
  <r>
    <x v="186"/>
    <x v="186"/>
    <n v="0.15169948145184253"/>
    <n v="0.29716859000000001"/>
    <n v="-10.00353035"/>
    <n v="124505996.02308576"/>
    <n v="12318614.012996919"/>
    <n v="820741078.55543709"/>
    <n v="1.5009135444613738E-2"/>
    <n v="187"/>
    <x v="4"/>
    <n v="0.1512500139181073"/>
    <n v="4.4946753373523163E-4"/>
    <s v="&lt;10"/>
    <s v="0-50"/>
    <s v="Others"/>
    <x v="0"/>
    <s v="&gt; 50"/>
    <n v="315082358.29189712"/>
  </r>
  <r>
    <x v="187"/>
    <x v="187"/>
    <n v="0.16173351819820211"/>
    <n v="-0.75151104999999996"/>
    <n v="-8.8221134800000005"/>
    <n v="121728977.49815689"/>
    <n v="29552497.5311331"/>
    <n v="752651515"/>
    <n v="3.9264516103622138E-2"/>
    <n v="188"/>
    <x v="4"/>
    <n v="0.16295816682879796"/>
    <n v="-1.2246486305958482E-3"/>
    <s v="&lt;10"/>
    <s v="0-50"/>
    <s v="Others"/>
    <x v="0"/>
    <s v="&gt; 50"/>
    <n v="291460163.91554862"/>
  </r>
  <r>
    <x v="188"/>
    <x v="188"/>
    <n v="0.14533288351561144"/>
    <n v="-1.3386981200000001"/>
    <n v="3.0661902400000001"/>
    <n v="120826125.88745858"/>
    <n v="16195087.278877759"/>
    <n v="831374999"/>
    <n v="1.9479882481861544E-2"/>
    <n v="189"/>
    <x v="4"/>
    <n v="0.14730485078372194"/>
    <n v="-1.9719672681104972E-3"/>
    <s v="&lt;10"/>
    <s v="0-50"/>
    <s v="Others"/>
    <x v="0"/>
    <s v="&gt; 50"/>
    <n v="317400374.51625347"/>
  </r>
  <r>
    <x v="189"/>
    <x v="189"/>
    <n v="1.1282258177564559"/>
    <n v="-0.24197077"/>
    <n v="-8.8845084399999994"/>
    <n v="119539801.64920226"/>
    <n v="27223446.874673609"/>
    <n v="105953790.25"/>
    <n v="0.25693697988943448"/>
    <n v="190"/>
    <x v="3"/>
    <n v="1.1309624162234022"/>
    <n v="-2.7365984669462939E-3"/>
    <s v="&lt;10"/>
    <s v="0-50"/>
    <s v="Others"/>
    <x v="1"/>
    <s v="&gt; 50"/>
    <n v="75164530.552410498"/>
  </r>
  <r>
    <x v="190"/>
    <x v="190"/>
    <n v="0.40617599483368849"/>
    <n v="-0.90610009000000002"/>
    <n v="-9.2376092700000001"/>
    <n v="116595421.00819048"/>
    <n v="6042872.0757912695"/>
    <n v="287056405.32974201"/>
    <n v="2.1051166124824199E-2"/>
    <n v="191"/>
    <x v="4"/>
    <n v="0.40989000857024449"/>
    <n v="-3.7140137365559989E-3"/>
    <s v="&lt;10"/>
    <s v="0-50"/>
    <s v="Others"/>
    <x v="0"/>
    <s v="&gt; 50"/>
    <n v="134550608.47727749"/>
  </r>
  <r>
    <x v="191"/>
    <x v="191"/>
    <n v="2.6077700326699243E-2"/>
    <n v="-1.60629139"/>
    <n v="-10.519254399999999"/>
    <n v="116567320.43426791"/>
    <n v="24390115.661836591"/>
    <n v="4469999999"/>
    <n v="5.4564017152780742E-3"/>
    <n v="192"/>
    <x v="4"/>
    <n v="2.6503422520704645E-2"/>
    <n v="-4.2572219400540193E-4"/>
    <s v="&lt;10"/>
    <s v="0-50"/>
    <s v="Others"/>
    <x v="1"/>
    <s v="&gt; 50"/>
    <n v="1528855772.6093254"/>
  </r>
  <r>
    <x v="192"/>
    <x v="192"/>
    <n v="1.6157969270902579E-2"/>
    <n v="-1.2495672900000001"/>
    <n v="-9.3963680800000002"/>
    <n v="116521989.17239194"/>
    <n v="4983859.3078842396"/>
    <n v="7211425348"/>
    <n v="6.9110599741096276E-4"/>
    <n v="193"/>
    <x v="4"/>
    <n v="1.6362428829404346E-2"/>
    <n v="-2.0445955850176625E-4"/>
    <s v="&lt;10"/>
    <s v="0-50"/>
    <s v="Others"/>
    <x v="1"/>
    <s v="&gt; 50"/>
    <n v="2442649111.9742751"/>
  </r>
  <r>
    <x v="193"/>
    <x v="193"/>
    <n v="1.7702006625987792"/>
    <n v="-0.14944695999999999"/>
    <n v="-6.4777158000000004"/>
    <n v="115049467.40003918"/>
    <n v="5479251.5821716404"/>
    <n v="64992331"/>
    <n v="8.430612501299023E-2"/>
    <n v="194"/>
    <x v="3"/>
    <n v="1.7728501332282447"/>
    <n v="-2.6494706294655224E-3"/>
    <s v="&lt;10"/>
    <s v="0-50"/>
    <s v="Others"/>
    <x v="1"/>
    <s v="&gt; 50"/>
    <n v="60013932.750197411"/>
  </r>
  <r>
    <x v="194"/>
    <x v="194"/>
    <n v="1.1602094643592986E-2"/>
    <n v="-0.94340526000000002"/>
    <n v="-9.3502525100000007"/>
    <n v="114979500.59516977"/>
    <n v="18822511.300319251"/>
    <n v="9910236395"/>
    <n v="1.8992999309093929E-3"/>
    <n v="195"/>
    <x v="4"/>
    <n v="1.1712591851199534E-2"/>
    <n v="-1.104972076065476E-4"/>
    <s v="&lt;10"/>
    <s v="0-50"/>
    <s v="Others"/>
    <x v="0"/>
    <s v="&gt; 50"/>
    <n v="3341738631.5505881"/>
  </r>
  <r>
    <x v="195"/>
    <x v="195"/>
    <n v="0.17093832063050074"/>
    <n v="-1.36751782"/>
    <n v="-2.9518106300000002"/>
    <n v="112981917.37716705"/>
    <n v="15481667.269261681"/>
    <n v="660951371"/>
    <n v="2.342330759650044E-2"/>
    <n v="196"/>
    <x v="4"/>
    <n v="0.17330834310602233"/>
    <n v="-2.3700224755215937E-3"/>
    <s v="&lt;10"/>
    <s v="0-50"/>
    <s v="Others"/>
    <x v="1"/>
    <s v="&gt; 50"/>
    <n v="257977762.33654976"/>
  </r>
  <r>
    <x v="196"/>
    <x v="196"/>
    <n v="0.29331756723759655"/>
    <n v="0.25048649000000001"/>
    <n v="-3.7452453399999999"/>
    <n v="112008374.28670502"/>
    <n v="9227088.8387724701"/>
    <n v="381867255.14457399"/>
    <n v="2.4163079484987832E-2"/>
    <n v="197"/>
    <x v="4"/>
    <n v="0.29258468213703387"/>
    <n v="7.3288510056268574E-4"/>
    <s v="&lt;10"/>
    <s v="0-50"/>
    <s v="Others"/>
    <x v="1"/>
    <s v="&gt; 50"/>
    <n v="164625209.89392182"/>
  </r>
  <r>
    <x v="197"/>
    <x v="197"/>
    <n v="3123.3166078564905"/>
    <n v="-0.48997120999999999"/>
    <n v="-3.1034433300000002"/>
    <n v="109603394.95403764"/>
    <n v="23381110.689405959"/>
    <n v="35091.989930939999"/>
    <n v="666.28055962113558"/>
    <n v="198"/>
    <x v="1"/>
    <n v="3138.6953112512415"/>
    <n v="-15.378703394751028"/>
    <s v="&gt;=10"/>
    <s v="&gt;50"/>
    <s v="Others"/>
    <x v="1"/>
    <s v="&gt; 50"/>
    <n v="36546162.15133246"/>
  </r>
  <r>
    <x v="198"/>
    <x v="198"/>
    <n v="6.0570076717135777"/>
    <n v="-1.0925282700000001"/>
    <n v="-8.4816053"/>
    <n v="107171736.34597132"/>
    <n v="11399420.827109659"/>
    <n v="17693841.935592521"/>
    <n v="0.6442592212931918"/>
    <n v="199"/>
    <x v="6"/>
    <n v="6.1239131541529472"/>
    <n v="-6.6905482439369557E-2"/>
    <s v="&lt;10"/>
    <s v="0-50"/>
    <s v="Others"/>
    <x v="1"/>
    <s v="&gt; 50"/>
    <n v="41621859.063011855"/>
  </r>
  <r>
    <x v="199"/>
    <x v="199"/>
    <n v="0.20971938966285206"/>
    <n v="-0.76592079000000002"/>
    <n v="-9.1435571800000002"/>
    <n v="107063390.73542643"/>
    <n v="10749146.133387189"/>
    <n v="510507831"/>
    <n v="2.1055790882446208E-2"/>
    <n v="200"/>
    <x v="4"/>
    <n v="0.2113380718926631"/>
    <n v="-1.6186822298110415E-3"/>
    <s v="&lt;10"/>
    <s v="0-50"/>
    <s v="Others"/>
    <x v="0"/>
    <s v="&gt; 50"/>
    <n v="205857073.656501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rowHeaderCaption="Coin Name">
  <location ref="A3:D14" firstHeaderRow="0" firstDataRow="1" firstDataCol="1" rowPageCount="1" colPageCount="1"/>
  <pivotFields count="5">
    <pivotField axis="axisRow" allDrilled="1" showAll="0" measureFilter="1" dataSourceSort="1" defaultAttributeDrillState="1">
      <items count="11">
        <item x="0"/>
        <item x="1"/>
        <item x="2"/>
        <item x="3"/>
        <item x="4"/>
        <item x="5"/>
        <item x="6"/>
        <item x="7"/>
        <item x="8"/>
        <item x="9"/>
        <item t="default"/>
      </items>
    </pivotField>
    <pivotField dataField="1" showAll="0"/>
    <pivotField axis="axisPage" allDrilled="1" showAll="0" dataSourceSort="1" defaultAttributeDrillState="1">
      <items count="1">
        <item t="default"/>
      </items>
    </pivotField>
    <pivotField dataField="1" showAll="0"/>
    <pivotField dataField="1" showAll="0"/>
  </pivotFields>
  <rowFields count="1">
    <field x="0"/>
  </rowFields>
  <rowItems count="11">
    <i>
      <x/>
    </i>
    <i>
      <x v="1"/>
    </i>
    <i>
      <x v="2"/>
    </i>
    <i>
      <x v="3"/>
    </i>
    <i>
      <x v="4"/>
    </i>
    <i>
      <x v="5"/>
    </i>
    <i>
      <x v="6"/>
    </i>
    <i>
      <x v="7"/>
    </i>
    <i>
      <x v="8"/>
    </i>
    <i>
      <x v="9"/>
    </i>
    <i t="grand">
      <x/>
    </i>
  </rowItems>
  <colFields count="1">
    <field x="-2"/>
  </colFields>
  <colItems count="3">
    <i>
      <x/>
    </i>
    <i i="1">
      <x v="1"/>
    </i>
    <i i="2">
      <x v="2"/>
    </i>
  </colItems>
  <pageFields count="1">
    <pageField fld="2" hier="13" name="[CryptoTable].[price_range].&amp;[&lt;10]" cap="&lt;10"/>
  </pageFields>
  <dataFields count="3">
    <dataField name="Current_Price" fld="3" baseField="0" baseItem="0" numFmtId="165"/>
    <dataField name="Previous_Price" fld="4" baseField="0" baseItem="0" numFmtId="165"/>
    <dataField name="Price_Change" fld="1" baseField="0" baseItem="0"/>
  </dataFields>
  <formats count="2">
    <format dxfId="1">
      <pivotArea outline="0" collapsedLevelsAreSubtotals="1" fieldPosition="0">
        <references count="1">
          <reference field="4294967294" count="1" selected="0">
            <x v="1"/>
          </reference>
        </references>
      </pivotArea>
    </format>
    <format dxfId="0">
      <pivotArea dataOnly="0" labelOnly="1" outline="0" fieldPosition="0">
        <references count="1">
          <reference field="4294967294" count="1">
            <x v="1"/>
          </reference>
        </references>
      </pivotArea>
    </format>
  </formats>
  <conditionalFormats count="1">
    <conditionalFormat priority="1">
      <pivotAreas count="1">
        <pivotArea outline="0" fieldPosition="0">
          <references count="1">
            <reference field="4294967294" count="1">
              <x v="2"/>
            </reference>
          </references>
        </pivotArea>
      </pivotAreas>
    </conditionalFormat>
  </conditionalFormats>
  <chartFormats count="6">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13" format="6" series="1">
      <pivotArea type="data" outline="0" fieldPosition="0">
        <references count="1">
          <reference field="4294967294" count="1" selected="0">
            <x v="0"/>
          </reference>
        </references>
      </pivotArea>
    </chartFormat>
    <chartFormat chart="13" format="7"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2"/>
          </reference>
        </references>
      </pivotArea>
    </chartFormat>
  </chartFormats>
  <pivotHierarchies count="2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ryptoTable].[price_range].&amp;[&lt;10]"/>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6">
      <autoFilter ref="A1">
        <filterColumn colId="0">
          <top10 val="10" filterVal="10"/>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inmarketcap_crypto_data (1)(design (Autosaved) Dashboard.xlsx!CryptoTable">
        <x15:activeTabTopLevelEntity name="[CryptoTable]"/>
      </x15:pivotTableUISettings>
    </ext>
  </extLst>
</pivotTableDefinition>
</file>

<file path=xl/pivotTables/pivotTable2.xml><?xml version="1.0" encoding="utf-8"?>
<pivotTableDefinition xmlns="http://schemas.openxmlformats.org/spreadsheetml/2006/main" name="PivotTable8"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rowHeaderCaption="Coin Name">
  <location ref="A17:B28" firstHeaderRow="1" firstDataRow="1" firstDataCol="1"/>
  <pivotFields count="4">
    <pivotField allDrilled="1" showAll="0" measureFilter="1" dataSourceSort="1" defaultAttributeDrillState="1">
      <items count="11">
        <item x="0"/>
        <item x="1"/>
        <item x="2"/>
        <item x="3"/>
        <item x="4"/>
        <item x="5"/>
        <item x="6"/>
        <item x="7"/>
        <item x="8"/>
        <item x="9"/>
        <item t="default"/>
      </items>
    </pivotField>
    <pivotField dataField="1" showAll="0"/>
    <pivotField allDrilled="1" showAll="0" dataSourceSort="1" defaultAttributeDrillState="1"/>
    <pivotField axis="axisRow" allDrilled="1" showAll="0" measureFilter="1" dataSourceSort="1" defaultAttributeDrillState="1">
      <items count="11">
        <item x="0"/>
        <item x="1"/>
        <item x="2"/>
        <item x="3"/>
        <item x="4"/>
        <item x="5"/>
        <item x="6"/>
        <item x="7"/>
        <item x="8"/>
        <item x="9"/>
        <item t="default"/>
      </items>
    </pivotField>
  </pivotFields>
  <rowFields count="1">
    <field x="3"/>
  </rowFields>
  <rowItems count="11">
    <i>
      <x/>
    </i>
    <i>
      <x v="1"/>
    </i>
    <i>
      <x v="2"/>
    </i>
    <i>
      <x v="3"/>
    </i>
    <i>
      <x v="4"/>
    </i>
    <i>
      <x v="5"/>
    </i>
    <i>
      <x v="6"/>
    </i>
    <i>
      <x v="7"/>
    </i>
    <i>
      <x v="8"/>
    </i>
    <i>
      <x v="9"/>
    </i>
    <i t="grand">
      <x/>
    </i>
  </rowItems>
  <colItems count="1">
    <i/>
  </colItems>
  <dataFields count="1">
    <dataField name="Price_Change"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ryptoTable].[price_range].&amp;[&lt;10]"/>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16">
      <autoFilter ref="A1">
        <filterColumn colId="0">
          <top10 val="10" filterVal="10"/>
        </filterColumn>
      </autoFilter>
    </filter>
    <filter fld="3" type="count" id="2" iMeasureHier="16">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inmarketcap_crypto_data (1)(design (Autosaved) Dashboard.xlsx!CryptoTable">
        <x15:activeTabTopLevelEntity name="[CryptoTable]"/>
      </x15:pivotTableUISettings>
    </ext>
  </extLst>
</pivotTableDefinition>
</file>

<file path=xl/pivotTables/pivotTable3.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rowHeaderCaption="Coin Name">
  <location ref="A3:C14" firstHeaderRow="0" firstDataRow="1" firstDataCol="1"/>
  <pivotFields count="11">
    <pivotField axis="axisRow" showAll="0" measureFilter="1">
      <items count="201">
        <item x="178"/>
        <item x="163"/>
        <item x="37"/>
        <item x="123"/>
        <item x="116"/>
        <item x="105"/>
        <item x="60"/>
        <item x="166"/>
        <item x="199"/>
        <item x="63"/>
        <item x="72"/>
        <item x="96"/>
        <item x="170"/>
        <item x="36"/>
        <item x="24"/>
        <item x="151"/>
        <item x="120"/>
        <item x="130"/>
        <item x="174"/>
        <item x="168"/>
        <item x="0"/>
        <item x="9"/>
        <item x="111"/>
        <item x="38"/>
        <item x="40"/>
        <item x="100"/>
        <item x="4"/>
        <item x="74"/>
        <item x="153"/>
        <item x="15"/>
        <item x="10"/>
        <item x="114"/>
        <item x="16"/>
        <item x="86"/>
        <item x="152"/>
        <item x="124"/>
        <item x="145"/>
        <item x="55"/>
        <item x="187"/>
        <item x="28"/>
        <item x="99"/>
        <item x="18"/>
        <item x="83"/>
        <item x="134"/>
        <item x="85"/>
        <item x="177"/>
        <item x="197"/>
        <item x="147"/>
        <item x="191"/>
        <item x="8"/>
        <item x="126"/>
        <item x="118"/>
        <item x="154"/>
        <item x="169"/>
        <item x="56"/>
        <item x="13"/>
        <item x="106"/>
        <item x="1"/>
        <item x="46"/>
        <item x="127"/>
        <item x="77"/>
        <item x="137"/>
        <item x="146"/>
        <item x="69"/>
        <item x="87"/>
        <item x="62"/>
        <item x="113"/>
        <item x="149"/>
        <item x="180"/>
        <item x="140"/>
        <item x="188"/>
        <item x="61"/>
        <item x="39"/>
        <item x="102"/>
        <item x="142"/>
        <item x="22"/>
        <item x="156"/>
        <item x="186"/>
        <item x="97"/>
        <item x="12"/>
        <item x="108"/>
        <item x="107"/>
        <item x="45"/>
        <item x="109"/>
        <item x="175"/>
        <item x="115"/>
        <item x="183"/>
        <item x="79"/>
        <item x="93"/>
        <item x="98"/>
        <item x="176"/>
        <item x="57"/>
        <item x="101"/>
        <item x="51"/>
        <item x="67"/>
        <item x="110"/>
        <item x="95"/>
        <item x="20"/>
        <item x="171"/>
        <item x="136"/>
        <item x="34"/>
        <item x="104"/>
        <item x="35"/>
        <item x="184"/>
        <item x="59"/>
        <item x="128"/>
        <item x="14"/>
        <item x="84"/>
        <item x="164"/>
        <item x="148"/>
        <item x="47"/>
        <item x="48"/>
        <item x="141"/>
        <item x="73"/>
        <item x="192"/>
        <item x="172"/>
        <item x="64"/>
        <item x="42"/>
        <item x="50"/>
        <item x="135"/>
        <item x="179"/>
        <item x="90"/>
        <item x="150"/>
        <item x="81"/>
        <item x="31"/>
        <item x="21"/>
        <item x="144"/>
        <item x="44"/>
        <item x="49"/>
        <item x="80"/>
        <item x="158"/>
        <item x="32"/>
        <item x="54"/>
        <item x="91"/>
        <item x="68"/>
        <item x="121"/>
        <item x="194"/>
        <item x="58"/>
        <item x="155"/>
        <item x="70"/>
        <item x="195"/>
        <item x="41"/>
        <item x="89"/>
        <item x="165"/>
        <item x="160"/>
        <item x="76"/>
        <item x="132"/>
        <item x="26"/>
        <item x="43"/>
        <item x="6"/>
        <item x="173"/>
        <item x="117"/>
        <item x="92"/>
        <item x="78"/>
        <item x="161"/>
        <item x="122"/>
        <item x="19"/>
        <item x="88"/>
        <item x="25"/>
        <item x="103"/>
        <item x="193"/>
        <item x="119"/>
        <item x="143"/>
        <item x="30"/>
        <item x="2"/>
        <item x="82"/>
        <item x="112"/>
        <item x="125"/>
        <item x="182"/>
        <item x="129"/>
        <item x="159"/>
        <item x="27"/>
        <item x="7"/>
        <item x="75"/>
        <item x="131"/>
        <item x="33"/>
        <item x="65"/>
        <item x="11"/>
        <item x="5"/>
        <item x="53"/>
        <item x="162"/>
        <item x="71"/>
        <item x="196"/>
        <item x="94"/>
        <item x="138"/>
        <item x="167"/>
        <item x="157"/>
        <item x="29"/>
        <item x="17"/>
        <item x="52"/>
        <item x="189"/>
        <item x="66"/>
        <item x="3"/>
        <item x="181"/>
        <item x="185"/>
        <item x="23"/>
        <item x="133"/>
        <item x="139"/>
        <item x="198"/>
        <item x="190"/>
        <item t="default"/>
      </items>
    </pivotField>
    <pivotField showAll="0"/>
    <pivotField showAll="0"/>
    <pivotField showAll="0"/>
    <pivotField showAll="0"/>
    <pivotField showAll="0"/>
    <pivotField dataField="1" showAll="0"/>
    <pivotField dataField="1" showAll="0"/>
    <pivotField showAll="0">
      <items count="5">
        <item x="1"/>
        <item x="0"/>
        <item m="1" x="2"/>
        <item m="1" x="3"/>
        <item t="default"/>
      </items>
    </pivotField>
    <pivotField showAll="0" defaultSubtotal="0"/>
    <pivotField showAll="0" defaultSubtotal="0"/>
  </pivotFields>
  <rowFields count="1">
    <field x="0"/>
  </rowFields>
  <rowItems count="11">
    <i>
      <x v="20"/>
    </i>
    <i>
      <x v="21"/>
    </i>
    <i>
      <x v="24"/>
    </i>
    <i>
      <x v="26"/>
    </i>
    <i>
      <x v="57"/>
    </i>
    <i>
      <x v="106"/>
    </i>
    <i>
      <x v="124"/>
    </i>
    <i>
      <x v="163"/>
    </i>
    <i>
      <x v="193"/>
    </i>
    <i>
      <x v="195"/>
    </i>
    <i t="grand">
      <x/>
    </i>
  </rowItems>
  <colFields count="1">
    <field x="-2"/>
  </colFields>
  <colItems count="2">
    <i>
      <x/>
    </i>
    <i i="1">
      <x v="1"/>
    </i>
  </colItems>
  <dataFields count="2">
    <dataField name=" Price_24h_Ago" fld="6" baseField="0" baseItem="20"/>
    <dataField name=" Price_7d_Ago" fld="7" baseField="0" baseItem="2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location ref="A20:B27" firstHeaderRow="1" firstDataRow="1" firstDataCol="1" rowPageCount="1" colPageCount="1"/>
  <pivotFields count="4">
    <pivotField allDrilled="1"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showAll="0"/>
    <pivotField axis="axisPage" allDrilled="1" showAll="0" dataSourceSort="1" defaultAttributeDrillState="1">
      <items count="1">
        <item t="default"/>
      </items>
    </pivotField>
    <pivotField axis="axisRow" allDrilled="1" showAll="0" dataSourceSort="1" defaultAttributeDrillState="1">
      <items count="7">
        <item x="0"/>
        <item x="1"/>
        <item x="2"/>
        <item x="3"/>
        <item x="4"/>
        <item x="5"/>
        <item t="default"/>
      </items>
    </pivotField>
  </pivotFields>
  <rowFields count="1">
    <field x="3"/>
  </rowFields>
  <rowItems count="7">
    <i>
      <x/>
    </i>
    <i>
      <x v="1"/>
    </i>
    <i>
      <x v="2"/>
    </i>
    <i>
      <x v="3"/>
    </i>
    <i>
      <x v="4"/>
    </i>
    <i>
      <x v="5"/>
    </i>
    <i t="grand">
      <x/>
    </i>
  </rowItems>
  <colItems count="1">
    <i/>
  </colItems>
  <pageFields count="1">
    <pageField fld="2" hier="14" name="[CryptoTable].[Price_Category].[All]" cap="All"/>
  </pageFields>
  <dataFields count="1">
    <dataField name="Sum of volume_24h" fld="1" baseField="0" baseItem="0"/>
  </dataFields>
  <chartFormats count="14">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3" count="1" selected="0">
            <x v="0"/>
          </reference>
        </references>
      </pivotArea>
    </chartFormat>
    <chartFormat chart="7" format="2">
      <pivotArea type="data" outline="0" fieldPosition="0">
        <references count="2">
          <reference field="4294967294" count="1" selected="0">
            <x v="0"/>
          </reference>
          <reference field="3" count="1" selected="0">
            <x v="1"/>
          </reference>
        </references>
      </pivotArea>
    </chartFormat>
    <chartFormat chart="7" format="3">
      <pivotArea type="data" outline="0" fieldPosition="0">
        <references count="2">
          <reference field="4294967294" count="1" selected="0">
            <x v="0"/>
          </reference>
          <reference field="3" count="1" selected="0">
            <x v="2"/>
          </reference>
        </references>
      </pivotArea>
    </chartFormat>
    <chartFormat chart="7" format="4">
      <pivotArea type="data" outline="0" fieldPosition="0">
        <references count="2">
          <reference field="4294967294" count="1" selected="0">
            <x v="0"/>
          </reference>
          <reference field="3" count="1" selected="0">
            <x v="3"/>
          </reference>
        </references>
      </pivotArea>
    </chartFormat>
    <chartFormat chart="7" format="5">
      <pivotArea type="data" outline="0" fieldPosition="0">
        <references count="2">
          <reference field="4294967294" count="1" selected="0">
            <x v="0"/>
          </reference>
          <reference field="3" count="1" selected="0">
            <x v="4"/>
          </reference>
        </references>
      </pivotArea>
    </chartFormat>
    <chartFormat chart="7" format="6">
      <pivotArea type="data" outline="0" fieldPosition="0">
        <references count="2">
          <reference field="4294967294" count="1" selected="0">
            <x v="0"/>
          </reference>
          <reference field="3" count="1" selected="0">
            <x v="5"/>
          </reference>
        </references>
      </pivotArea>
    </chartFormat>
    <chartFormat chart="11" format="14"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3" count="1" selected="0">
            <x v="0"/>
          </reference>
        </references>
      </pivotArea>
    </chartFormat>
    <chartFormat chart="11" format="16">
      <pivotArea type="data" outline="0" fieldPosition="0">
        <references count="2">
          <reference field="4294967294" count="1" selected="0">
            <x v="0"/>
          </reference>
          <reference field="3" count="1" selected="0">
            <x v="1"/>
          </reference>
        </references>
      </pivotArea>
    </chartFormat>
    <chartFormat chart="11" format="17">
      <pivotArea type="data" outline="0" fieldPosition="0">
        <references count="2">
          <reference field="4294967294" count="1" selected="0">
            <x v="0"/>
          </reference>
          <reference field="3" count="1" selected="0">
            <x v="2"/>
          </reference>
        </references>
      </pivotArea>
    </chartFormat>
    <chartFormat chart="11" format="18">
      <pivotArea type="data" outline="0" fieldPosition="0">
        <references count="2">
          <reference field="4294967294" count="1" selected="0">
            <x v="0"/>
          </reference>
          <reference field="3" count="1" selected="0">
            <x v="3"/>
          </reference>
        </references>
      </pivotArea>
    </chartFormat>
    <chartFormat chart="11" format="19">
      <pivotArea type="data" outline="0" fieldPosition="0">
        <references count="2">
          <reference field="4294967294" count="1" selected="0">
            <x v="0"/>
          </reference>
          <reference field="3" count="1" selected="0">
            <x v="4"/>
          </reference>
        </references>
      </pivotArea>
    </chartFormat>
    <chartFormat chart="11" format="20">
      <pivotArea type="data" outline="0" fieldPosition="0">
        <references count="2">
          <reference field="4294967294" count="1" selected="0">
            <x v="0"/>
          </reference>
          <reference field="3" count="1" selected="0">
            <x v="5"/>
          </reference>
        </references>
      </pivotArea>
    </chartFormat>
  </chartFormats>
  <pivotHierarchies count="2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inmarketcap_crypto_data (1)(design (Autosaved) Dashboard.xlsx!CryptoTable">
        <x15:activeTabTopLevelEntity name="[CryptoTable]"/>
      </x15:pivotTableUISettings>
    </ext>
  </extLst>
</pivotTableDefinition>
</file>

<file path=xl/pivotTables/pivotTable5.xml><?xml version="1.0" encoding="utf-8"?>
<pivotTableDefinition xmlns="http://schemas.openxmlformats.org/spreadsheetml/2006/main" name="PivotTable2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B9" firstHeaderRow="1" firstDataRow="1" firstDataCol="1" rowPageCount="1" colPageCount="1"/>
  <pivotFields count="3">
    <pivotField axis="axisRow" allDrilled="1"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showAll="0"/>
    <pivotField axis="axisPage" allDrilled="1" showAll="0" dataSourceSort="1" defaultAttributeDrillState="1">
      <items count="1">
        <item t="default"/>
      </items>
    </pivotField>
  </pivotFields>
  <rowFields count="1">
    <field x="0"/>
  </rowFields>
  <rowItems count="6">
    <i>
      <x v="3"/>
    </i>
    <i>
      <x/>
    </i>
    <i>
      <x v="1"/>
    </i>
    <i>
      <x v="4"/>
    </i>
    <i>
      <x v="2"/>
    </i>
    <i t="grand">
      <x/>
    </i>
  </rowItems>
  <colItems count="1">
    <i/>
  </colItems>
  <pageFields count="1">
    <pageField fld="2" hier="14" name="[CryptoTable].[Price_Category].[All]" cap="All"/>
  </pageFields>
  <dataFields count="1">
    <dataField name="Sum of volume_24h" fld="1" baseField="0" baseItem="0"/>
  </dataFields>
  <pivotHierarchies count="2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inmarketcap_crypto_data (1)(design (Autosaved) Dashboard.xlsx!CryptoTable">
        <x15:activeTabTopLevelEntity name="[CryptoTable]"/>
      </x15:pivotTableUISettings>
    </ext>
  </extLst>
</pivotTableDefinition>
</file>

<file path=xl/pivotTables/pivotTable6.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A3:B14" firstHeaderRow="1" firstDataRow="1" firstDataCol="1" rowPageCount="1" colPageCount="1"/>
  <pivotFields count="19">
    <pivotField axis="axisRow" showAll="0" measureFilter="1">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pivotField>
    <pivotField showAll="0"/>
    <pivotField showAll="0" defaultSubtotal="0"/>
    <pivotField showAll="0"/>
    <pivotField showAll="0"/>
    <pivotField showAll="0" defaultSubtotal="0"/>
    <pivotField dataField="1" showAll="0" defaultSubtotal="0"/>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s>
  <rowFields count="1">
    <field x="0"/>
  </rowFields>
  <rowItems count="11">
    <i>
      <x v="21"/>
    </i>
    <i>
      <x v="27"/>
    </i>
    <i>
      <x v="50"/>
    </i>
    <i>
      <x v="59"/>
    </i>
    <i>
      <x v="66"/>
    </i>
    <i>
      <x v="152"/>
    </i>
    <i>
      <x v="167"/>
    </i>
    <i>
      <x v="181"/>
    </i>
    <i>
      <x v="190"/>
    </i>
    <i>
      <x v="194"/>
    </i>
    <i t="grand">
      <x/>
    </i>
  </rowItems>
  <colItems count="1">
    <i/>
  </colItems>
  <pageFields count="1">
    <pageField fld="16" hier="-1"/>
  </pageFields>
  <dataFields count="1">
    <dataField name="Sum of volume_24h" fld="6" baseField="0" baseItem="0"/>
  </dataFields>
  <chartFormats count="2">
    <chartFormat chart="3"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B204" firstHeaderRow="1" firstDataRow="1" firstDataCol="1" rowPageCount="1" colPageCount="1"/>
  <pivotFields count="11">
    <pivotField axis="axisRow" showAll="0">
      <items count="201">
        <item x="178"/>
        <item x="163"/>
        <item x="37"/>
        <item x="123"/>
        <item x="116"/>
        <item x="105"/>
        <item x="60"/>
        <item x="166"/>
        <item x="199"/>
        <item x="63"/>
        <item x="72"/>
        <item x="96"/>
        <item x="170"/>
        <item x="36"/>
        <item x="24"/>
        <item x="151"/>
        <item x="120"/>
        <item x="130"/>
        <item x="174"/>
        <item x="168"/>
        <item x="0"/>
        <item x="9"/>
        <item x="111"/>
        <item x="38"/>
        <item x="40"/>
        <item x="100"/>
        <item x="4"/>
        <item x="74"/>
        <item x="153"/>
        <item x="15"/>
        <item x="10"/>
        <item x="114"/>
        <item x="16"/>
        <item x="86"/>
        <item x="152"/>
        <item x="124"/>
        <item x="145"/>
        <item x="55"/>
        <item x="187"/>
        <item x="28"/>
        <item x="99"/>
        <item x="18"/>
        <item x="83"/>
        <item x="134"/>
        <item x="85"/>
        <item x="177"/>
        <item x="197"/>
        <item x="147"/>
        <item x="191"/>
        <item x="8"/>
        <item x="126"/>
        <item x="118"/>
        <item x="154"/>
        <item x="169"/>
        <item x="56"/>
        <item x="13"/>
        <item x="106"/>
        <item x="1"/>
        <item x="46"/>
        <item x="127"/>
        <item x="77"/>
        <item x="137"/>
        <item x="146"/>
        <item x="69"/>
        <item x="87"/>
        <item x="62"/>
        <item x="113"/>
        <item x="149"/>
        <item x="180"/>
        <item x="140"/>
        <item x="188"/>
        <item x="61"/>
        <item x="39"/>
        <item x="102"/>
        <item x="142"/>
        <item x="22"/>
        <item x="156"/>
        <item x="186"/>
        <item x="97"/>
        <item x="12"/>
        <item x="108"/>
        <item x="107"/>
        <item x="45"/>
        <item x="109"/>
        <item x="175"/>
        <item x="115"/>
        <item x="183"/>
        <item x="79"/>
        <item x="93"/>
        <item x="98"/>
        <item x="176"/>
        <item x="57"/>
        <item x="101"/>
        <item x="51"/>
        <item x="67"/>
        <item x="110"/>
        <item x="95"/>
        <item x="20"/>
        <item x="171"/>
        <item x="136"/>
        <item x="34"/>
        <item x="104"/>
        <item x="35"/>
        <item x="184"/>
        <item x="59"/>
        <item x="128"/>
        <item x="14"/>
        <item x="84"/>
        <item x="164"/>
        <item x="148"/>
        <item x="47"/>
        <item x="48"/>
        <item x="141"/>
        <item x="73"/>
        <item x="192"/>
        <item x="172"/>
        <item x="64"/>
        <item x="42"/>
        <item x="50"/>
        <item x="135"/>
        <item x="179"/>
        <item x="90"/>
        <item x="150"/>
        <item x="81"/>
        <item x="31"/>
        <item x="21"/>
        <item x="144"/>
        <item x="44"/>
        <item x="49"/>
        <item x="80"/>
        <item x="158"/>
        <item x="32"/>
        <item x="54"/>
        <item x="91"/>
        <item x="68"/>
        <item x="121"/>
        <item x="194"/>
        <item x="58"/>
        <item x="155"/>
        <item x="70"/>
        <item x="195"/>
        <item x="41"/>
        <item x="89"/>
        <item x="165"/>
        <item x="160"/>
        <item x="76"/>
        <item x="132"/>
        <item x="26"/>
        <item x="43"/>
        <item x="6"/>
        <item x="173"/>
        <item x="117"/>
        <item x="92"/>
        <item x="78"/>
        <item x="161"/>
        <item x="122"/>
        <item x="19"/>
        <item x="88"/>
        <item x="25"/>
        <item x="103"/>
        <item x="193"/>
        <item x="119"/>
        <item x="143"/>
        <item x="30"/>
        <item x="2"/>
        <item x="82"/>
        <item x="112"/>
        <item x="125"/>
        <item x="182"/>
        <item x="129"/>
        <item x="159"/>
        <item x="27"/>
        <item x="7"/>
        <item x="75"/>
        <item x="131"/>
        <item x="33"/>
        <item x="65"/>
        <item x="11"/>
        <item x="5"/>
        <item x="53"/>
        <item x="162"/>
        <item x="71"/>
        <item x="196"/>
        <item x="94"/>
        <item x="138"/>
        <item x="167"/>
        <item x="157"/>
        <item x="29"/>
        <item x="17"/>
        <item x="52"/>
        <item x="189"/>
        <item x="66"/>
        <item x="3"/>
        <item x="181"/>
        <item x="185"/>
        <item x="23"/>
        <item x="133"/>
        <item x="139"/>
        <item x="198"/>
        <item x="190"/>
        <item t="default"/>
      </items>
    </pivotField>
    <pivotField showAll="0"/>
    <pivotField showAll="0"/>
    <pivotField showAll="0"/>
    <pivotField showAll="0"/>
    <pivotField showAll="0"/>
    <pivotField showAll="0"/>
    <pivotField showAll="0"/>
    <pivotField showAll="0">
      <items count="5">
        <item x="1"/>
        <item x="0"/>
        <item m="1" x="2"/>
        <item m="1" x="3"/>
        <item t="default"/>
      </items>
    </pivotField>
    <pivotField axis="axisPage" showAll="0" defaultSubtotal="0">
      <items count="5">
        <item x="0"/>
        <item x="4"/>
        <item x="2"/>
        <item x="1"/>
        <item x="3"/>
      </items>
    </pivotField>
    <pivotField dataField="1" showAll="0" defaultSubtotal="0"/>
  </pivotFields>
  <rowFields count="1">
    <field x="0"/>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pageFields count="1">
    <pageField fld="9" hier="-1"/>
  </pageFields>
  <dataFields count="1">
    <dataField name="Min of Avg_Downfall" fld="10" subtotal="min"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rowHeaderCaption="Coin Name">
  <location ref="W13:X24" firstHeaderRow="1" firstDataRow="1" firstDataCol="1"/>
  <pivotFields count="4">
    <pivotField allDrilled="1" showAll="0" measureFilter="1" dataSourceSort="1" defaultAttributeDrillState="1">
      <items count="11">
        <item x="0"/>
        <item x="1"/>
        <item x="2"/>
        <item x="3"/>
        <item x="4"/>
        <item x="5"/>
        <item x="6"/>
        <item x="7"/>
        <item x="8"/>
        <item x="9"/>
        <item t="default"/>
      </items>
    </pivotField>
    <pivotField dataField="1" showAll="0"/>
    <pivotField allDrilled="1" showAll="0" dataSourceSort="1" defaultAttributeDrillState="1"/>
    <pivotField axis="axisRow" allDrilled="1" showAll="0" measureFilter="1" dataSourceSort="1" defaultAttributeDrillState="1">
      <items count="11">
        <item x="0"/>
        <item x="1"/>
        <item x="2"/>
        <item x="3"/>
        <item x="4"/>
        <item x="5"/>
        <item x="6"/>
        <item x="7"/>
        <item x="8"/>
        <item x="9"/>
        <item t="default"/>
      </items>
    </pivotField>
  </pivotFields>
  <rowFields count="1">
    <field x="3"/>
  </rowFields>
  <rowItems count="11">
    <i>
      <x/>
    </i>
    <i>
      <x v="1"/>
    </i>
    <i>
      <x v="2"/>
    </i>
    <i>
      <x v="3"/>
    </i>
    <i>
      <x v="4"/>
    </i>
    <i>
      <x v="5"/>
    </i>
    <i>
      <x v="6"/>
    </i>
    <i>
      <x v="7"/>
    </i>
    <i>
      <x v="8"/>
    </i>
    <i>
      <x v="9"/>
    </i>
    <i t="grand">
      <x/>
    </i>
  </rowItems>
  <colItems count="1">
    <i/>
  </colItems>
  <dataFields count="1">
    <dataField name="Price_Change"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ryptoTable].[price_range].&amp;[&lt;10]"/>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16">
      <autoFilter ref="A1">
        <filterColumn colId="0">
          <top10 val="10" filterVal="10"/>
        </filterColumn>
      </autoFilter>
    </filter>
    <filter fld="3" type="count" id="2" iMeasureHier="16">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inmarketcap_crypto_data (1)(design (Autosaved) Dashboard.xlsx!CryptoTable">
        <x15:activeTabTopLevelEntity name="[CryptoTable]"/>
      </x15:pivotTableUISettings>
    </ext>
  </extLst>
</pivotTableDefinition>
</file>

<file path=xl/pivotTables/pivotTable9.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rowHeaderCaption="Coin Name">
  <location ref="F30:H41" firstHeaderRow="0" firstDataRow="1" firstDataCol="1"/>
  <pivotFields count="11">
    <pivotField axis="axisRow" showAll="0" measureFilter="1">
      <items count="201">
        <item x="178"/>
        <item x="163"/>
        <item x="37"/>
        <item x="123"/>
        <item x="116"/>
        <item x="105"/>
        <item x="60"/>
        <item x="166"/>
        <item x="199"/>
        <item x="63"/>
        <item x="72"/>
        <item x="96"/>
        <item x="170"/>
        <item x="36"/>
        <item x="24"/>
        <item x="151"/>
        <item x="120"/>
        <item x="130"/>
        <item x="174"/>
        <item x="168"/>
        <item x="0"/>
        <item x="9"/>
        <item x="111"/>
        <item x="38"/>
        <item x="40"/>
        <item x="100"/>
        <item x="4"/>
        <item x="74"/>
        <item x="153"/>
        <item x="15"/>
        <item x="10"/>
        <item x="114"/>
        <item x="16"/>
        <item x="86"/>
        <item x="152"/>
        <item x="124"/>
        <item x="145"/>
        <item x="55"/>
        <item x="187"/>
        <item x="28"/>
        <item x="99"/>
        <item x="18"/>
        <item x="83"/>
        <item x="134"/>
        <item x="85"/>
        <item x="177"/>
        <item x="197"/>
        <item x="147"/>
        <item x="191"/>
        <item x="8"/>
        <item x="126"/>
        <item x="118"/>
        <item x="154"/>
        <item x="169"/>
        <item x="56"/>
        <item x="13"/>
        <item x="106"/>
        <item x="1"/>
        <item x="46"/>
        <item x="127"/>
        <item x="77"/>
        <item x="137"/>
        <item x="146"/>
        <item x="69"/>
        <item x="87"/>
        <item x="62"/>
        <item x="113"/>
        <item x="149"/>
        <item x="180"/>
        <item x="140"/>
        <item x="188"/>
        <item x="61"/>
        <item x="39"/>
        <item x="102"/>
        <item x="142"/>
        <item x="22"/>
        <item x="156"/>
        <item x="186"/>
        <item x="97"/>
        <item x="12"/>
        <item x="108"/>
        <item x="107"/>
        <item x="45"/>
        <item x="109"/>
        <item x="175"/>
        <item x="115"/>
        <item x="183"/>
        <item x="79"/>
        <item x="93"/>
        <item x="98"/>
        <item x="176"/>
        <item x="57"/>
        <item x="101"/>
        <item x="51"/>
        <item x="67"/>
        <item x="110"/>
        <item x="95"/>
        <item x="20"/>
        <item x="171"/>
        <item x="136"/>
        <item x="34"/>
        <item x="104"/>
        <item x="35"/>
        <item x="184"/>
        <item x="59"/>
        <item x="128"/>
        <item x="14"/>
        <item x="84"/>
        <item x="164"/>
        <item x="148"/>
        <item x="47"/>
        <item x="48"/>
        <item x="141"/>
        <item x="73"/>
        <item x="192"/>
        <item x="172"/>
        <item x="64"/>
        <item x="42"/>
        <item x="50"/>
        <item x="135"/>
        <item x="179"/>
        <item x="90"/>
        <item x="150"/>
        <item x="81"/>
        <item x="31"/>
        <item x="21"/>
        <item x="144"/>
        <item x="44"/>
        <item x="49"/>
        <item x="80"/>
        <item x="158"/>
        <item x="32"/>
        <item x="54"/>
        <item x="91"/>
        <item x="68"/>
        <item x="121"/>
        <item x="194"/>
        <item x="58"/>
        <item x="155"/>
        <item x="70"/>
        <item x="195"/>
        <item x="41"/>
        <item x="89"/>
        <item x="165"/>
        <item x="160"/>
        <item x="76"/>
        <item x="132"/>
        <item x="26"/>
        <item x="43"/>
        <item x="6"/>
        <item x="173"/>
        <item x="117"/>
        <item x="92"/>
        <item x="78"/>
        <item x="161"/>
        <item x="122"/>
        <item x="19"/>
        <item x="88"/>
        <item x="25"/>
        <item x="103"/>
        <item x="193"/>
        <item x="119"/>
        <item x="143"/>
        <item x="30"/>
        <item x="2"/>
        <item x="82"/>
        <item x="112"/>
        <item x="125"/>
        <item x="182"/>
        <item x="129"/>
        <item x="159"/>
        <item x="27"/>
        <item x="7"/>
        <item x="75"/>
        <item x="131"/>
        <item x="33"/>
        <item x="65"/>
        <item x="11"/>
        <item x="5"/>
        <item x="53"/>
        <item x="162"/>
        <item x="71"/>
        <item x="196"/>
        <item x="94"/>
        <item x="138"/>
        <item x="167"/>
        <item x="157"/>
        <item x="29"/>
        <item x="17"/>
        <item x="52"/>
        <item x="189"/>
        <item x="66"/>
        <item x="3"/>
        <item x="181"/>
        <item x="185"/>
        <item x="23"/>
        <item x="133"/>
        <item x="139"/>
        <item x="198"/>
        <item x="190"/>
        <item t="default"/>
      </items>
    </pivotField>
    <pivotField showAll="0"/>
    <pivotField showAll="0"/>
    <pivotField showAll="0"/>
    <pivotField showAll="0"/>
    <pivotField showAll="0"/>
    <pivotField dataField="1" showAll="0"/>
    <pivotField dataField="1" showAll="0"/>
    <pivotField showAll="0">
      <items count="5">
        <item x="1"/>
        <item x="0"/>
        <item m="1" x="2"/>
        <item m="1" x="3"/>
        <item t="default"/>
      </items>
    </pivotField>
    <pivotField showAll="0" defaultSubtotal="0"/>
    <pivotField showAll="0" defaultSubtotal="0"/>
  </pivotFields>
  <rowFields count="1">
    <field x="0"/>
  </rowFields>
  <rowItems count="11">
    <i>
      <x v="20"/>
    </i>
    <i>
      <x v="21"/>
    </i>
    <i>
      <x v="24"/>
    </i>
    <i>
      <x v="26"/>
    </i>
    <i>
      <x v="57"/>
    </i>
    <i>
      <x v="106"/>
    </i>
    <i>
      <x v="124"/>
    </i>
    <i>
      <x v="163"/>
    </i>
    <i>
      <x v="193"/>
    </i>
    <i>
      <x v="195"/>
    </i>
    <i t="grand">
      <x/>
    </i>
  </rowItems>
  <colFields count="1">
    <field x="-2"/>
  </colFields>
  <colItems count="2">
    <i>
      <x/>
    </i>
    <i i="1">
      <x v="1"/>
    </i>
  </colItems>
  <dataFields count="2">
    <dataField name=" Price_24h_Ago" fld="6" baseField="0" baseItem="20"/>
    <dataField name=" Price_7d_Ago" fld="7" baseField="0" baseItem="2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21" unboundColumnsRight="11">
    <queryTableFields count="19">
      <queryTableField id="1" name="coin name" tableColumnId="16"/>
      <queryTableField id="2" name="symbol" tableColumnId="17"/>
      <queryTableField id="3" name="price (USD)" tableColumnId="18"/>
      <queryTableField id="4" name="1h change (%)" tableColumnId="19"/>
      <queryTableField id="5" name="24h change (%)" tableColumnId="20"/>
      <queryTableField id="6" name="market cap" tableColumnId="21"/>
      <queryTableField id="7" name="volume (24h) USD" tableColumnId="22"/>
      <queryTableField id="8" name="circulating supply" tableColumnId="23"/>
      <queryTableField id="9" dataBound="0" tableColumnId="24"/>
      <queryTableField id="10" dataBound="0" tableColumnId="25"/>
      <queryTableField id="11" dataBound="0" tableColumnId="26"/>
      <queryTableField id="12" dataBound="0" tableColumnId="1"/>
      <queryTableField id="13" dataBound="0" tableColumnId="2"/>
      <queryTableField id="14" dataBound="0" tableColumnId="3"/>
      <queryTableField id="15" dataBound="0" tableColumnId="4"/>
      <queryTableField id="17" dataBound="0" tableColumnId="6"/>
      <queryTableField id="18" dataBound="0" tableColumnId="7"/>
      <queryTableField id="19" dataBound="0" tableColumnId="5"/>
      <queryTableField id="20" dataBound="0"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ce_range1" sourceName="[CryptoTable].[price_range]">
  <pivotTables>
    <pivotTable tabId="9" name="PivotTable2"/>
    <pivotTable tabId="9" name="PivotTable8"/>
    <pivotTable tabId="23" name="PivotTable4"/>
  </pivotTables>
  <data>
    <olap pivotCacheId="7">
      <levels count="2">
        <level uniqueName="[CryptoTable].[price_range].[(All)]" sourceCaption="(All)" count="0"/>
        <level uniqueName="[CryptoTable].[price_range].[price_range]" sourceCaption="price_range" count="2">
          <ranges>
            <range startItem="0">
              <i n="[CryptoTable].[price_range].&amp;[&lt;10]" c="&lt;10"/>
              <i n="[CryptoTable].[price_range].&amp;[&gt;=10]" c="&gt;=10"/>
            </range>
          </ranges>
        </level>
      </levels>
      <selections count="1">
        <selection n="[CryptoTable].[price_range].&amp;[&lt;10]"/>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ice_Range2" sourceName="Price_Range">
  <pivotTables>
    <pivotTable tabId="14" name="PivotTable9"/>
    <pivotTable tabId="23" name="PivotTable3"/>
  </pivotTables>
  <data>
    <tabular pivotCacheId="3">
      <items count="4">
        <i x="1" s="1"/>
        <i x="0" s="1"/>
        <i x="2" s="1" nd="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ice_Category" sourceName="[CryptoTable].[Price_Category]">
  <pivotTables>
    <pivotTable tabId="19" name="PivotTable20"/>
    <pivotTable tabId="19" name="PivotTable1"/>
  </pivotTables>
  <data>
    <olap pivotCacheId="6">
      <levels count="2">
        <level uniqueName="[CryptoTable].[Price_Category].[(All)]" sourceCaption="(All)" count="0"/>
        <level uniqueName="[CryptoTable].[Price_Category].[Price_Category]" sourceCaption="Price_Category" count="2">
          <ranges>
            <range startItem="0">
              <i n="[CryptoTable].[Price_Category].&amp;[&gt;50]" c="&gt;50"/>
              <i n="[CryptoTable].[Price_Category].&amp;[0-50]" c="0-50"/>
            </range>
          </ranges>
        </level>
      </levels>
      <selections count="1">
        <selection n="[CryptoTable].[Price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ice_range21" sourceName="Price_range2">
  <pivotTables>
    <pivotTable tabId="21" name="PivotTable1"/>
  </pivotTables>
  <data>
    <tabular pivotCacheId="3">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ce_range" cache="Slicer_price_range1" caption="price_range" level="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ice_Range 1" cache="Slicer_Price_Range2" caption="Price_Rang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ice_Category" cache="Slicer_Price_Category" caption="Price_Category" level="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ice_range2" cache="Slicer_Price_range21" caption="Price_range2"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ice_range 2" cache="Slicer_price_range1" caption="price_range" level="1" rowHeight="241300"/>
  <slicer name="Price_Range 3" cache="Slicer_Price_Range2" caption="Price_Range" rowHeight="241300"/>
  <slicer name="Price_Category 1" cache="Slicer_Price_Category" caption="Price_Category"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CryptoTable" displayName="CryptoTable" ref="A1:S201" tableType="queryTable" totalsRowShown="0" headerRowDxfId="31" dataDxfId="30">
  <autoFilter ref="A1:S201"/>
  <tableColumns count="19">
    <tableColumn id="16" uniqueName="16" name="coin name" queryTableFieldId="1" dataDxfId="29"/>
    <tableColumn id="17" uniqueName="17" name="symbol" queryTableFieldId="2" dataDxfId="28"/>
    <tableColumn id="18" uniqueName="18" name="price_USD" queryTableFieldId="3" dataDxfId="27"/>
    <tableColumn id="19" uniqueName="19" name="1h change (%)" queryTableFieldId="4" dataDxfId="26"/>
    <tableColumn id="20" uniqueName="20" name="24h change (%)" queryTableFieldId="5" dataDxfId="25"/>
    <tableColumn id="21" uniqueName="21" name="market_cap" queryTableFieldId="6" dataDxfId="24"/>
    <tableColumn id="22" uniqueName="22" name="volume_24h" queryTableFieldId="7" dataDxfId="23"/>
    <tableColumn id="23" uniqueName="23" name="circulating_supply" queryTableFieldId="8" dataDxfId="22"/>
    <tableColumn id="24" uniqueName="24" name="Dollar Volume Per Supply" queryTableFieldId="9" dataDxfId="21">
      <calculatedColumnFormula>CryptoTable[[#This Row],[volume_24h]]/CryptoTable[[#This Row],[circulating_supply]]</calculatedColumnFormula>
    </tableColumn>
    <tableColumn id="25" uniqueName="25" name="Rank" queryTableFieldId="10" dataDxfId="20">
      <calculatedColumnFormula>RANK(CryptoTable[[#This Row],[market_cap]],CryptoTable[market_cap],0)</calculatedColumnFormula>
    </tableColumn>
    <tableColumn id="26" uniqueName="26" name="Price Range" queryTableFieldId="11" dataDxfId="19">
      <calculatedColumnFormula>IF(C2&lt;=0.5,"0-0.5",
IF(C2&lt;=1,"0.5-1",
IF(C2&lt;=2,"1-2",
IF(C2&lt;=10,"2-10",
IF(C2&lt;=100,"10-100",
IF(C2&lt;=10000,"100-10000","10000+"))))))</calculatedColumnFormula>
    </tableColumn>
    <tableColumn id="1" uniqueName="1" name="Previous_Price" queryTableFieldId="12" dataDxfId="18">
      <calculatedColumnFormula>C2/(1+D2/100)</calculatedColumnFormula>
    </tableColumn>
    <tableColumn id="2" uniqueName="2" name="price_change" queryTableFieldId="13" dataDxfId="17">
      <calculatedColumnFormula>C2-CryptoTable[[#This Row],[Previous_Price]]</calculatedColumnFormula>
    </tableColumn>
    <tableColumn id="3" uniqueName="3" name="price_range" queryTableFieldId="14" dataDxfId="16">
      <calculatedColumnFormula>IF(C2&gt;=10,"&gt;=10","&lt;10")</calculatedColumnFormula>
    </tableColumn>
    <tableColumn id="4" uniqueName="4" name="Price_Category" queryTableFieldId="15" dataDxfId="15">
      <calculatedColumnFormula>IF(C2&lt;=50,"0-50","&gt;50")</calculatedColumnFormula>
    </tableColumn>
    <tableColumn id="6" uniqueName="6" name="top5_others" queryTableFieldId="17" dataDxfId="14">
      <calculatedColumnFormula>IF(J2&lt;=5,A2,"Others")</calculatedColumnFormula>
    </tableColumn>
    <tableColumn id="7" uniqueName="7" name="Valid_coin" queryTableFieldId="18" dataDxfId="13">
      <calculatedColumnFormula>IF(OR(
LEFT(A2,1)="A",
LEFT(A2,1)="E",
LEFT(A2,1)="I",
LEFT(A2,1)="O",
LEFT(A2,1)="U",
LEFT(A2,1)="B",
LEFT(A2,1)="C",
LEFT(A2,1)="D"
),
"Yes","No")</calculatedColumnFormula>
    </tableColumn>
    <tableColumn id="5" uniqueName="5" name="Price_Range2" queryTableFieldId="19" dataDxfId="12">
      <calculatedColumnFormula>IF(B2&lt;=0.05,"0 - 0.05",
IF(B2&lt;=0.5,"0.05 - 0.5",
IF(B2&lt;=5,"0.5 - 5",
IF(B2&lt;=50,"5 - 50",
"&gt; 50"))))</calculatedColumnFormula>
    </tableColumn>
    <tableColumn id="8" uniqueName="8" name="Avg_Downfall" queryTableFieldId="20" dataDxfId="11">
      <calculatedColumnFormula>AVERAGE(D2,F2,H2)</calculatedColumnFormula>
    </tableColumn>
  </tableColumns>
  <tableStyleInfo name="TableStyleQueryResult" showFirstColumn="0" showLastColumn="0" showRowStripes="1" showColumnStripes="0"/>
</table>
</file>

<file path=xl/tables/table2.xml><?xml version="1.0" encoding="utf-8"?>
<table xmlns="http://schemas.openxmlformats.org/spreadsheetml/2006/main" id="2" name="Table2" displayName="Table2" ref="A1:K201" totalsRowShown="0" headerRowDxfId="10" headerRowBorderDxfId="9" tableBorderDxfId="8">
  <autoFilter ref="A1:K201"/>
  <tableColumns count="11">
    <tableColumn id="1" name="Name"/>
    <tableColumn id="2" name="Price"/>
    <tableColumn id="3" name="1h"/>
    <tableColumn id="4" name="24h"/>
    <tableColumn id="5" name="7d"/>
    <tableColumn id="6" name="Price_1h_Ago" dataDxfId="7">
      <calculatedColumnFormula>B2/(1+C2/100)</calculatedColumnFormula>
    </tableColumn>
    <tableColumn id="7" name="Price_24h_Ago" dataDxfId="6">
      <calculatedColumnFormula>B2/(1-D2/100)</calculatedColumnFormula>
    </tableColumn>
    <tableColumn id="8" name="Price_7d_Ago" dataDxfId="5">
      <calculatedColumnFormula>Table2[[#This Row],[Price]]/(1+Table2[[#This Row],[7d]]/100)</calculatedColumnFormula>
    </tableColumn>
    <tableColumn id="9" name="Price_Range" dataDxfId="4">
      <calculatedColumnFormula>IF(AND(B2&gt;=0,B2&lt;=5),"0-5 USD","Above 5 USD")</calculatedColumnFormula>
    </tableColumn>
    <tableColumn id="10" name="Price_range2" dataDxfId="3">
      <calculatedColumnFormula>IF(B2&lt;=0.05,"0 - 0.05",
IF(B2&lt;=0.5,"0.05 - 0.5",
IF(B2&lt;=5,"0.5 - 5",
IF(B2&lt;=50,"5 - 50",
"&gt; 50"))))</calculatedColumnFormula>
    </tableColumn>
    <tableColumn id="11" name="Avg_Downfall" dataDxfId="2">
      <calculatedColumnFormula>AVERAGE(C2,D2,E2)</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pivotTable" Target="../pivotTables/pivotTable7.xml"/><Relationship Id="rId4" Type="http://schemas.microsoft.com/office/2007/relationships/slicer" Target="../slicers/slicer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microsoft.com/office/2007/relationships/slicer" Target="../slicers/slicer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01"/>
  <sheetViews>
    <sheetView workbookViewId="0">
      <selection sqref="A1:A1048576"/>
    </sheetView>
  </sheetViews>
  <sheetFormatPr defaultRowHeight="14.5" x14ac:dyDescent="0.35"/>
  <cols>
    <col min="1" max="1" width="29.26953125" customWidth="1"/>
    <col min="2" max="2" width="15.1796875" customWidth="1"/>
    <col min="3" max="3" width="12.90625" customWidth="1"/>
    <col min="4" max="4" width="15" customWidth="1"/>
    <col min="5" max="5" width="16.90625" customWidth="1"/>
    <col min="6" max="6" width="15.36328125" customWidth="1"/>
    <col min="7" max="7" width="17.1796875" customWidth="1"/>
    <col min="8" max="8" width="16.7265625" customWidth="1"/>
  </cols>
  <sheetData>
    <row r="1" spans="1:8" x14ac:dyDescent="0.35">
      <c r="A1" t="s">
        <v>0</v>
      </c>
      <c r="B1" t="s">
        <v>1</v>
      </c>
      <c r="C1" t="s">
        <v>2</v>
      </c>
      <c r="D1" t="s">
        <v>3</v>
      </c>
      <c r="E1" t="s">
        <v>4</v>
      </c>
      <c r="F1" t="s">
        <v>5</v>
      </c>
      <c r="G1" t="s">
        <v>6</v>
      </c>
      <c r="H1" t="s">
        <v>7</v>
      </c>
    </row>
    <row r="2" spans="1:8" x14ac:dyDescent="0.35">
      <c r="A2" t="s">
        <v>8</v>
      </c>
      <c r="B2" t="s">
        <v>9</v>
      </c>
      <c r="C2">
        <v>82567.315574975204</v>
      </c>
      <c r="D2">
        <v>-0.1125322</v>
      </c>
      <c r="E2">
        <v>-6.4253689500000002</v>
      </c>
      <c r="F2">
        <v>1649877108686.1599</v>
      </c>
      <c r="G2">
        <v>79431371927.590698</v>
      </c>
      <c r="H2">
        <v>19982206</v>
      </c>
    </row>
    <row r="3" spans="1:8" x14ac:dyDescent="0.35">
      <c r="A3" t="s">
        <v>10</v>
      </c>
      <c r="B3" t="s">
        <v>11</v>
      </c>
      <c r="C3">
        <v>2721.2855990224398</v>
      </c>
      <c r="D3">
        <v>-0.48012495999999999</v>
      </c>
      <c r="E3">
        <v>-7.8926658700000001</v>
      </c>
      <c r="F3">
        <v>328443547573.03101</v>
      </c>
      <c r="G3">
        <v>44450877161.727203</v>
      </c>
      <c r="H3">
        <v>120694258.511865</v>
      </c>
    </row>
    <row r="4" spans="1:8" x14ac:dyDescent="0.35">
      <c r="A4" t="s">
        <v>12</v>
      </c>
      <c r="B4" t="s">
        <v>13</v>
      </c>
      <c r="C4">
        <v>0.99835009693143695</v>
      </c>
      <c r="D4">
        <v>9.1576599999999998E-3</v>
      </c>
      <c r="E4">
        <v>-3.57581E-3</v>
      </c>
      <c r="F4">
        <v>185541095501.96701</v>
      </c>
      <c r="G4">
        <v>146962642926.79999</v>
      </c>
      <c r="H4">
        <v>185847726235.76901</v>
      </c>
    </row>
    <row r="5" spans="1:8" x14ac:dyDescent="0.35">
      <c r="A5" t="s">
        <v>14</v>
      </c>
      <c r="B5" t="s">
        <v>14</v>
      </c>
      <c r="C5">
        <v>840.16680829514905</v>
      </c>
      <c r="D5">
        <v>-0.63475939000000003</v>
      </c>
      <c r="E5">
        <v>-6.78413646</v>
      </c>
      <c r="F5">
        <v>114565293344.384</v>
      </c>
      <c r="G5">
        <v>4383074905.1874399</v>
      </c>
      <c r="H5">
        <v>136360175.40000001</v>
      </c>
    </row>
    <row r="6" spans="1:8" x14ac:dyDescent="0.35">
      <c r="A6" t="s">
        <v>15</v>
      </c>
      <c r="B6" t="s">
        <v>15</v>
      </c>
      <c r="C6">
        <v>1.73923049348425</v>
      </c>
      <c r="D6">
        <v>-0.92487492999999998</v>
      </c>
      <c r="E6">
        <v>-7.6581250499999998</v>
      </c>
      <c r="F6">
        <v>105837799045.08299</v>
      </c>
      <c r="G6">
        <v>5464903595.5785398</v>
      </c>
      <c r="H6">
        <v>60853233336</v>
      </c>
    </row>
    <row r="7" spans="1:8" x14ac:dyDescent="0.35">
      <c r="A7" t="s">
        <v>16</v>
      </c>
      <c r="B7" t="s">
        <v>16</v>
      </c>
      <c r="C7">
        <v>0.99961874710505505</v>
      </c>
      <c r="D7">
        <v>-2.1987600000000001E-3</v>
      </c>
      <c r="E7">
        <v>-5.4388300000000004E-3</v>
      </c>
      <c r="F7">
        <v>70177276643.161499</v>
      </c>
      <c r="G7">
        <v>17960088237.617199</v>
      </c>
      <c r="H7">
        <v>70204042137.463196</v>
      </c>
    </row>
    <row r="8" spans="1:8" x14ac:dyDescent="0.35">
      <c r="A8" t="s">
        <v>17</v>
      </c>
      <c r="B8" t="s">
        <v>18</v>
      </c>
      <c r="C8">
        <v>113.99156631741</v>
      </c>
      <c r="D8">
        <v>-0.87650912999999997</v>
      </c>
      <c r="E8">
        <v>-7.7958635000000003</v>
      </c>
      <c r="F8">
        <v>64540866308.955597</v>
      </c>
      <c r="G8">
        <v>7375324263.6191301</v>
      </c>
      <c r="H8">
        <v>566189836.61686802</v>
      </c>
    </row>
    <row r="9" spans="1:8" x14ac:dyDescent="0.35">
      <c r="A9" t="s">
        <v>19</v>
      </c>
      <c r="B9" t="s">
        <v>20</v>
      </c>
      <c r="C9">
        <v>0.29089056752824599</v>
      </c>
      <c r="D9">
        <v>-0.29139744000000001</v>
      </c>
      <c r="E9">
        <v>-0.98432903999999999</v>
      </c>
      <c r="F9">
        <v>27552158283.603699</v>
      </c>
      <c r="G9">
        <v>786816172.720698</v>
      </c>
      <c r="H9">
        <v>94716575094.613007</v>
      </c>
    </row>
    <row r="10" spans="1:8" x14ac:dyDescent="0.35">
      <c r="A10" t="s">
        <v>21</v>
      </c>
      <c r="B10" t="s">
        <v>22</v>
      </c>
      <c r="C10">
        <v>0.112966247723534</v>
      </c>
      <c r="D10">
        <v>-1.2505180600000001</v>
      </c>
      <c r="E10">
        <v>-7.4385538699999998</v>
      </c>
      <c r="F10">
        <v>19038047318.285801</v>
      </c>
      <c r="G10">
        <v>2006479617.23785</v>
      </c>
      <c r="H10">
        <v>168528633126.57901</v>
      </c>
    </row>
    <row r="11" spans="1:8" x14ac:dyDescent="0.35">
      <c r="A11" t="s">
        <v>23</v>
      </c>
      <c r="B11" t="s">
        <v>24</v>
      </c>
      <c r="C11">
        <v>0.321879709616396</v>
      </c>
      <c r="D11">
        <v>-1.16377815</v>
      </c>
      <c r="E11">
        <v>-8.4488316099999992</v>
      </c>
      <c r="F11">
        <v>11602513435.639799</v>
      </c>
      <c r="G11">
        <v>794079261.17402697</v>
      </c>
      <c r="H11">
        <v>36046116263.330902</v>
      </c>
    </row>
    <row r="12" spans="1:8" x14ac:dyDescent="0.35">
      <c r="A12" t="s">
        <v>25</v>
      </c>
      <c r="B12" t="s">
        <v>26</v>
      </c>
      <c r="C12">
        <v>542.21372185740199</v>
      </c>
      <c r="D12">
        <v>-0.55072155</v>
      </c>
      <c r="E12">
        <v>-6.27941781</v>
      </c>
      <c r="F12">
        <v>10837630624.6374</v>
      </c>
      <c r="G12">
        <v>530946324.447689</v>
      </c>
      <c r="H12">
        <v>19987746.875</v>
      </c>
    </row>
    <row r="13" spans="1:8" x14ac:dyDescent="0.35">
      <c r="A13" t="s">
        <v>27</v>
      </c>
      <c r="B13" t="s">
        <v>28</v>
      </c>
      <c r="C13">
        <v>28.707625974095901</v>
      </c>
      <c r="D13">
        <v>-1.32833928</v>
      </c>
      <c r="E13">
        <v>-12.142328920000001</v>
      </c>
      <c r="F13">
        <v>8671766921.5311203</v>
      </c>
      <c r="G13">
        <v>787525269.73610795</v>
      </c>
      <c r="H13">
        <v>302071893</v>
      </c>
    </row>
    <row r="14" spans="1:8" x14ac:dyDescent="0.35">
      <c r="A14" t="s">
        <v>29</v>
      </c>
      <c r="B14" t="s">
        <v>30</v>
      </c>
      <c r="C14">
        <v>9.2054699542376497</v>
      </c>
      <c r="D14">
        <v>-5.6401519999999997E-2</v>
      </c>
      <c r="E14">
        <v>-3.7714100000000002E-3</v>
      </c>
      <c r="F14">
        <v>8484618819.3623896</v>
      </c>
      <c r="G14">
        <v>872988.87101453997</v>
      </c>
      <c r="H14">
        <v>921693173.89999998</v>
      </c>
    </row>
    <row r="15" spans="1:8" x14ac:dyDescent="0.35">
      <c r="A15" t="s">
        <v>31</v>
      </c>
      <c r="B15" t="s">
        <v>32</v>
      </c>
      <c r="C15">
        <v>429.43237490085397</v>
      </c>
      <c r="D15">
        <v>-2.24967512</v>
      </c>
      <c r="E15">
        <v>-9.4307293399999992</v>
      </c>
      <c r="F15">
        <v>7921629116.7613497</v>
      </c>
      <c r="G15">
        <v>121732959.299687</v>
      </c>
      <c r="H15">
        <v>18446744.073709499</v>
      </c>
    </row>
    <row r="16" spans="1:8" x14ac:dyDescent="0.35">
      <c r="A16" t="s">
        <v>33</v>
      </c>
      <c r="B16" t="s">
        <v>34</v>
      </c>
      <c r="C16">
        <v>10.722927996948901</v>
      </c>
      <c r="D16">
        <v>-1.31349626</v>
      </c>
      <c r="E16">
        <v>-7.7723414200000001</v>
      </c>
      <c r="F16">
        <v>7592904997.80474</v>
      </c>
      <c r="G16">
        <v>621800583.81138098</v>
      </c>
      <c r="H16">
        <v>708099970.45258605</v>
      </c>
    </row>
    <row r="17" spans="1:8" x14ac:dyDescent="0.35">
      <c r="A17" t="s">
        <v>35</v>
      </c>
      <c r="B17" t="s">
        <v>36</v>
      </c>
      <c r="C17">
        <v>0.99831600523004704</v>
      </c>
      <c r="D17">
        <v>1.5742E-3</v>
      </c>
      <c r="E17">
        <v>-3.4881229999999999E-2</v>
      </c>
      <c r="F17">
        <v>6573580022.2278996</v>
      </c>
      <c r="G17">
        <v>145060672.14089799</v>
      </c>
      <c r="H17">
        <v>6584668569.6610804</v>
      </c>
    </row>
    <row r="18" spans="1:8" x14ac:dyDescent="0.35">
      <c r="A18" t="s">
        <v>37</v>
      </c>
      <c r="B18" t="s">
        <v>38</v>
      </c>
      <c r="C18">
        <v>0.17248663983403201</v>
      </c>
      <c r="D18">
        <v>0.16308017</v>
      </c>
      <c r="E18">
        <v>6.20692442</v>
      </c>
      <c r="F18">
        <v>6482504382.7925396</v>
      </c>
      <c r="G18">
        <v>45347434.175385296</v>
      </c>
      <c r="H18">
        <v>37582646337.305</v>
      </c>
    </row>
    <row r="19" spans="1:8" x14ac:dyDescent="0.35">
      <c r="A19" t="s">
        <v>39</v>
      </c>
      <c r="B19" t="s">
        <v>40</v>
      </c>
      <c r="C19">
        <v>0.192174944865353</v>
      </c>
      <c r="D19">
        <v>-1.0344722200000001</v>
      </c>
      <c r="E19">
        <v>-6.8428694400000003</v>
      </c>
      <c r="F19">
        <v>6248281132.9549704</v>
      </c>
      <c r="G19">
        <v>202528047.55254501</v>
      </c>
      <c r="H19">
        <v>32513505531.810101</v>
      </c>
    </row>
    <row r="20" spans="1:8" x14ac:dyDescent="0.35">
      <c r="A20" t="s">
        <v>41</v>
      </c>
      <c r="B20" t="s">
        <v>42</v>
      </c>
      <c r="C20">
        <v>332.53905684042797</v>
      </c>
      <c r="D20">
        <v>-1.2621039300000001</v>
      </c>
      <c r="E20">
        <v>-8.9736576400000008</v>
      </c>
      <c r="F20">
        <v>5490407019.8398199</v>
      </c>
      <c r="G20">
        <v>477191041.44196701</v>
      </c>
      <c r="H20">
        <v>16510562.9155448</v>
      </c>
    </row>
    <row r="21" spans="1:8" x14ac:dyDescent="0.35">
      <c r="A21" t="s">
        <v>43</v>
      </c>
      <c r="B21" t="s">
        <v>44</v>
      </c>
      <c r="C21">
        <v>0.99966163695746502</v>
      </c>
      <c r="D21">
        <v>1.0246740000000001E-2</v>
      </c>
      <c r="E21">
        <v>-4.3747400000000002E-3</v>
      </c>
      <c r="F21">
        <v>5363567255.4492302</v>
      </c>
      <c r="G21">
        <v>185735476.12897</v>
      </c>
      <c r="H21">
        <v>5365382702.6648703</v>
      </c>
    </row>
    <row r="22" spans="1:8" x14ac:dyDescent="0.35">
      <c r="A22" t="s">
        <v>45</v>
      </c>
      <c r="B22" t="s">
        <v>46</v>
      </c>
      <c r="C22">
        <v>0.99906645904396596</v>
      </c>
      <c r="D22">
        <v>1.8346680000000001E-2</v>
      </c>
      <c r="E22">
        <v>-4.6583199999999998E-2</v>
      </c>
      <c r="F22">
        <v>5041556524.3867598</v>
      </c>
      <c r="G22">
        <v>2331998634.4260702</v>
      </c>
      <c r="H22">
        <v>5046267421.7000103</v>
      </c>
    </row>
    <row r="23" spans="1:8" x14ac:dyDescent="0.35">
      <c r="A23" t="s">
        <v>47</v>
      </c>
      <c r="B23" t="s">
        <v>48</v>
      </c>
      <c r="C23">
        <v>63.628076463269998</v>
      </c>
      <c r="D23">
        <v>-0.80887056999999996</v>
      </c>
      <c r="E23">
        <v>-6.8295799400000003</v>
      </c>
      <c r="F23">
        <v>4886087208.7486296</v>
      </c>
      <c r="G23">
        <v>558188942.30337095</v>
      </c>
      <c r="H23">
        <v>76791370.733471304</v>
      </c>
    </row>
    <row r="24" spans="1:8" x14ac:dyDescent="0.35">
      <c r="A24" t="s">
        <v>49</v>
      </c>
      <c r="B24" t="s">
        <v>50</v>
      </c>
      <c r="C24">
        <v>1.2751612129412599</v>
      </c>
      <c r="D24">
        <v>-1.26078607</v>
      </c>
      <c r="E24">
        <v>-6.7898716600000002</v>
      </c>
      <c r="F24">
        <v>4835644769.3239899</v>
      </c>
      <c r="G24">
        <v>1182653618.23614</v>
      </c>
      <c r="H24">
        <v>3792183074.77388</v>
      </c>
    </row>
    <row r="25" spans="1:8" x14ac:dyDescent="0.35">
      <c r="A25" t="s">
        <v>51</v>
      </c>
      <c r="B25" t="s">
        <v>52</v>
      </c>
      <c r="C25">
        <v>10.804692530436901</v>
      </c>
      <c r="D25">
        <v>-1.06953023</v>
      </c>
      <c r="E25">
        <v>-8.7106274700000004</v>
      </c>
      <c r="F25">
        <v>4660404149.16325</v>
      </c>
      <c r="G25">
        <v>587970856.55167997</v>
      </c>
      <c r="H25">
        <v>431331491.94526798</v>
      </c>
    </row>
    <row r="26" spans="1:8" x14ac:dyDescent="0.35">
      <c r="A26" t="s">
        <v>53</v>
      </c>
      <c r="B26" t="s">
        <v>54</v>
      </c>
      <c r="C26" s="1">
        <v>7.1553727606035902E-6</v>
      </c>
      <c r="D26">
        <v>-0.97172305000000003</v>
      </c>
      <c r="E26">
        <v>-5.9532382300000002</v>
      </c>
      <c r="F26">
        <v>4216259847.7470298</v>
      </c>
      <c r="G26">
        <v>149956713.405476</v>
      </c>
      <c r="H26">
        <v>589243913463338</v>
      </c>
    </row>
    <row r="27" spans="1:8" x14ac:dyDescent="0.35">
      <c r="A27" t="s">
        <v>55</v>
      </c>
      <c r="B27" t="s">
        <v>56</v>
      </c>
      <c r="C27">
        <v>9.8019395124406605E-2</v>
      </c>
      <c r="D27">
        <v>-1.10442855</v>
      </c>
      <c r="E27">
        <v>-6.1416891400000004</v>
      </c>
      <c r="F27">
        <v>4215141641.14955</v>
      </c>
      <c r="G27">
        <v>198951915.94573101</v>
      </c>
      <c r="H27">
        <v>43003138672.705299</v>
      </c>
    </row>
    <row r="28" spans="1:8" x14ac:dyDescent="0.35">
      <c r="A28" t="s">
        <v>57</v>
      </c>
      <c r="B28" t="s">
        <v>58</v>
      </c>
      <c r="C28">
        <v>0.14912587329384699</v>
      </c>
      <c r="D28">
        <v>-0.92924178999999996</v>
      </c>
      <c r="E28">
        <v>-7.3389622599999997</v>
      </c>
      <c r="F28">
        <v>3987945490.2129302</v>
      </c>
      <c r="G28">
        <v>166855821.18957701</v>
      </c>
      <c r="H28">
        <v>26742143413</v>
      </c>
    </row>
    <row r="29" spans="1:8" x14ac:dyDescent="0.35">
      <c r="A29" t="s">
        <v>59</v>
      </c>
      <c r="B29" t="s">
        <v>60</v>
      </c>
      <c r="C29">
        <v>0.99941328482298597</v>
      </c>
      <c r="D29">
        <v>-1.02753E-3</v>
      </c>
      <c r="E29">
        <v>-1.4481279999999999E-2</v>
      </c>
      <c r="F29">
        <v>3645902738.7535901</v>
      </c>
      <c r="G29">
        <v>177322908.40340301</v>
      </c>
      <c r="H29">
        <v>3648043101.00735</v>
      </c>
    </row>
    <row r="30" spans="1:8" x14ac:dyDescent="0.35">
      <c r="A30" t="s">
        <v>61</v>
      </c>
      <c r="B30" t="s">
        <v>62</v>
      </c>
      <c r="C30">
        <v>1.4214512184724699</v>
      </c>
      <c r="D30">
        <v>-0.19673945000000001</v>
      </c>
      <c r="E30">
        <v>-5.8009905599999998</v>
      </c>
      <c r="F30">
        <v>3462720252.6796298</v>
      </c>
      <c r="G30">
        <v>132542144.10425501</v>
      </c>
      <c r="H30">
        <v>2436045787.3473601</v>
      </c>
    </row>
    <row r="31" spans="1:8" x14ac:dyDescent="0.35">
      <c r="A31" t="s">
        <v>63</v>
      </c>
      <c r="B31" t="s">
        <v>64</v>
      </c>
      <c r="C31">
        <v>8.5166522274066001E-2</v>
      </c>
      <c r="D31">
        <v>-0.61309035999999995</v>
      </c>
      <c r="E31">
        <v>-5.1529342299999996</v>
      </c>
      <c r="F31">
        <v>3391509098.8651299</v>
      </c>
      <c r="G31">
        <v>25894571.4236467</v>
      </c>
      <c r="H31">
        <v>39822092159.067398</v>
      </c>
    </row>
    <row r="32" spans="1:8" x14ac:dyDescent="0.35">
      <c r="A32" t="s">
        <v>65</v>
      </c>
      <c r="B32" t="s">
        <v>66</v>
      </c>
      <c r="C32">
        <v>1.68952443141775</v>
      </c>
      <c r="D32">
        <v>-0.99110313999999999</v>
      </c>
      <c r="E32">
        <v>-6.86599833</v>
      </c>
      <c r="F32">
        <v>2805140344.9874501</v>
      </c>
      <c r="G32">
        <v>190294121.61498901</v>
      </c>
      <c r="H32">
        <v>1660313572.757</v>
      </c>
    </row>
    <row r="33" spans="1:8" x14ac:dyDescent="0.35">
      <c r="A33" t="s">
        <v>67</v>
      </c>
      <c r="B33" t="s">
        <v>68</v>
      </c>
      <c r="C33">
        <v>4.2090831800042201</v>
      </c>
      <c r="D33">
        <v>-1.3550407900000001</v>
      </c>
      <c r="E33">
        <v>-11.22011942</v>
      </c>
      <c r="F33">
        <v>2672126198.2250299</v>
      </c>
      <c r="G33">
        <v>275334584.61919898</v>
      </c>
      <c r="H33">
        <v>634847562.74698806</v>
      </c>
    </row>
    <row r="34" spans="1:8" x14ac:dyDescent="0.35">
      <c r="A34" t="s">
        <v>69</v>
      </c>
      <c r="B34" t="s">
        <v>70</v>
      </c>
      <c r="C34">
        <v>0.78107618220036801</v>
      </c>
      <c r="D34">
        <v>-2.7072445699999999</v>
      </c>
      <c r="E34">
        <v>-13.44298972</v>
      </c>
      <c r="F34">
        <v>2540797123.8881998</v>
      </c>
      <c r="G34">
        <v>94181021.624318406</v>
      </c>
      <c r="H34">
        <v>3252944055.6368399</v>
      </c>
    </row>
    <row r="35" spans="1:8" x14ac:dyDescent="0.35">
      <c r="A35" t="s">
        <v>71</v>
      </c>
      <c r="B35" t="s">
        <v>72</v>
      </c>
      <c r="C35">
        <v>5149.8853435497203</v>
      </c>
      <c r="D35">
        <v>-0.76892340000000003</v>
      </c>
      <c r="E35">
        <v>-7.6446363699999997</v>
      </c>
      <c r="F35">
        <v>2490781400.2866502</v>
      </c>
      <c r="G35">
        <v>1956793815.14098</v>
      </c>
      <c r="H35">
        <v>483657.64169999998</v>
      </c>
    </row>
    <row r="36" spans="1:8" x14ac:dyDescent="0.35">
      <c r="A36" t="s">
        <v>73</v>
      </c>
      <c r="B36" t="s">
        <v>74</v>
      </c>
      <c r="C36">
        <v>3.4303599188001401</v>
      </c>
      <c r="D36">
        <v>-2.1156359999999999E-2</v>
      </c>
      <c r="E36">
        <v>-3.1084016000000001</v>
      </c>
      <c r="F36">
        <v>2397894413.8811002</v>
      </c>
      <c r="G36">
        <v>28492881.9054945</v>
      </c>
      <c r="H36">
        <v>699021231.19483805</v>
      </c>
    </row>
    <row r="37" spans="1:8" x14ac:dyDescent="0.35">
      <c r="A37" t="s">
        <v>75</v>
      </c>
      <c r="B37" t="s">
        <v>76</v>
      </c>
      <c r="C37">
        <v>213.78995970326599</v>
      </c>
      <c r="D37">
        <v>-1.0486287299999999</v>
      </c>
      <c r="E37">
        <v>-6.96103001</v>
      </c>
      <c r="F37">
        <v>2271409289.2741299</v>
      </c>
      <c r="G37">
        <v>167914941.160128</v>
      </c>
      <c r="H37">
        <v>10624490.001433</v>
      </c>
    </row>
    <row r="38" spans="1:8" x14ac:dyDescent="0.35">
      <c r="A38" t="s">
        <v>77</v>
      </c>
      <c r="B38" t="s">
        <v>78</v>
      </c>
      <c r="C38">
        <v>5168.8559711767903</v>
      </c>
      <c r="D38">
        <v>-0.80569873000000003</v>
      </c>
      <c r="E38">
        <v>-7.6664973400000003</v>
      </c>
      <c r="F38">
        <v>2196963104.00524</v>
      </c>
      <c r="G38">
        <v>1787685363.5613899</v>
      </c>
      <c r="H38">
        <v>425038.56099999999</v>
      </c>
    </row>
    <row r="39" spans="1:8" x14ac:dyDescent="0.35">
      <c r="A39" t="s">
        <v>79</v>
      </c>
      <c r="B39" t="s">
        <v>80</v>
      </c>
      <c r="C39">
        <v>140.697990006048</v>
      </c>
      <c r="D39">
        <v>-1.6798879900000001</v>
      </c>
      <c r="E39">
        <v>-10.182835860000001</v>
      </c>
      <c r="F39">
        <v>2155566141.4688601</v>
      </c>
      <c r="G39">
        <v>470785042.59443802</v>
      </c>
      <c r="H39">
        <v>15320518.3768168</v>
      </c>
    </row>
    <row r="40" spans="1:8" x14ac:dyDescent="0.35">
      <c r="A40" t="s">
        <v>81</v>
      </c>
      <c r="B40" t="s">
        <v>81</v>
      </c>
      <c r="C40">
        <v>99.358695724541505</v>
      </c>
      <c r="D40">
        <v>-0.67286239000000003</v>
      </c>
      <c r="E40">
        <v>-4.8046179799999997</v>
      </c>
      <c r="F40">
        <v>2086532610.2153699</v>
      </c>
      <c r="G40">
        <v>35824232.937679902</v>
      </c>
      <c r="H40">
        <v>21000000</v>
      </c>
    </row>
    <row r="41" spans="1:8" x14ac:dyDescent="0.35">
      <c r="A41" t="s">
        <v>82</v>
      </c>
      <c r="B41" t="s">
        <v>83</v>
      </c>
      <c r="C41">
        <v>1.48478352573941</v>
      </c>
      <c r="D41">
        <v>-0.10930463</v>
      </c>
      <c r="E41">
        <v>-4.03491438</v>
      </c>
      <c r="F41">
        <v>1874762636.6414199</v>
      </c>
      <c r="G41">
        <v>12245322.161760399</v>
      </c>
      <c r="H41">
        <v>1262650483.4823</v>
      </c>
    </row>
    <row r="42" spans="1:8" x14ac:dyDescent="0.35">
      <c r="A42" t="s">
        <v>84</v>
      </c>
      <c r="B42" t="s">
        <v>85</v>
      </c>
      <c r="C42" s="1">
        <v>4.5209459920358602E-6</v>
      </c>
      <c r="D42">
        <v>-1.61231689</v>
      </c>
      <c r="E42">
        <v>-6.6749113299999996</v>
      </c>
      <c r="F42">
        <v>1870643137.2537401</v>
      </c>
      <c r="G42">
        <v>507954787.61569703</v>
      </c>
      <c r="H42">
        <v>413772502602129</v>
      </c>
    </row>
    <row r="43" spans="1:8" x14ac:dyDescent="0.35">
      <c r="A43" t="s">
        <v>86</v>
      </c>
      <c r="B43" t="s">
        <v>87</v>
      </c>
      <c r="C43">
        <v>1.3086143987134</v>
      </c>
      <c r="D43">
        <v>-1.34398708</v>
      </c>
      <c r="E43">
        <v>-9.7574344899999996</v>
      </c>
      <c r="F43">
        <v>1683456047.97403</v>
      </c>
      <c r="G43">
        <v>222309673.9102</v>
      </c>
      <c r="H43">
        <v>1286441636</v>
      </c>
    </row>
    <row r="44" spans="1:8" x14ac:dyDescent="0.35">
      <c r="A44" t="s">
        <v>88</v>
      </c>
      <c r="B44" t="s">
        <v>89</v>
      </c>
      <c r="C44">
        <v>2.9804160900312602</v>
      </c>
      <c r="D44">
        <v>-0.67203734000000004</v>
      </c>
      <c r="E44">
        <v>-5.1562595</v>
      </c>
      <c r="F44">
        <v>1632203421.1220901</v>
      </c>
      <c r="G44">
        <v>104456893.494358</v>
      </c>
      <c r="H44">
        <v>547642802.82253098</v>
      </c>
    </row>
    <row r="45" spans="1:8" x14ac:dyDescent="0.35">
      <c r="A45" t="s">
        <v>90</v>
      </c>
      <c r="B45" t="s">
        <v>91</v>
      </c>
      <c r="C45">
        <v>10.504588747439</v>
      </c>
      <c r="D45">
        <v>-0.92539811999999999</v>
      </c>
      <c r="E45">
        <v>-6.96264678</v>
      </c>
      <c r="F45">
        <v>1631647973.9246299</v>
      </c>
      <c r="G45">
        <v>105160099.06273</v>
      </c>
      <c r="H45">
        <v>155327163.50484499</v>
      </c>
    </row>
    <row r="46" spans="1:8" x14ac:dyDescent="0.35">
      <c r="A46" t="s">
        <v>92</v>
      </c>
      <c r="B46" t="s">
        <v>93</v>
      </c>
      <c r="C46">
        <v>0.99985786542117405</v>
      </c>
      <c r="D46">
        <v>2.8679679999999999E-2</v>
      </c>
      <c r="E46">
        <v>7.4970999999999996E-3</v>
      </c>
      <c r="F46">
        <v>1593789390.86641</v>
      </c>
      <c r="G46">
        <v>51481309.292864099</v>
      </c>
      <c r="H46">
        <v>1594015955.65291</v>
      </c>
    </row>
    <row r="47" spans="1:8" x14ac:dyDescent="0.35">
      <c r="A47" t="s">
        <v>94</v>
      </c>
      <c r="B47" t="s">
        <v>95</v>
      </c>
      <c r="C47">
        <v>0.61355720314995599</v>
      </c>
      <c r="D47">
        <v>-0.29413984999999998</v>
      </c>
      <c r="E47">
        <v>-6.1743766500000001</v>
      </c>
      <c r="F47">
        <v>1579684753.8101299</v>
      </c>
      <c r="G47">
        <v>201974074.46041101</v>
      </c>
      <c r="H47">
        <v>2574633213.8228402</v>
      </c>
    </row>
    <row r="48" spans="1:8" x14ac:dyDescent="0.35">
      <c r="A48" t="s">
        <v>96</v>
      </c>
      <c r="B48" t="s">
        <v>97</v>
      </c>
      <c r="C48">
        <v>0.30571183848477501</v>
      </c>
      <c r="D48">
        <v>-1.46811162</v>
      </c>
      <c r="E48">
        <v>-8.6745746300000004</v>
      </c>
      <c r="F48">
        <v>1488612024.2846301</v>
      </c>
      <c r="G48">
        <v>99143076.445205405</v>
      </c>
      <c r="H48">
        <v>4869330647</v>
      </c>
    </row>
    <row r="49" spans="1:8" x14ac:dyDescent="0.35">
      <c r="A49" t="s">
        <v>98</v>
      </c>
      <c r="B49" t="s">
        <v>99</v>
      </c>
      <c r="C49">
        <v>6.3956350843256599E-2</v>
      </c>
      <c r="D49">
        <v>-0.30338325999999999</v>
      </c>
      <c r="E49">
        <v>-3.14754472</v>
      </c>
      <c r="F49">
        <v>1470251450.61763</v>
      </c>
      <c r="G49">
        <v>27781280.890004002</v>
      </c>
      <c r="H49">
        <v>22988357391.135502</v>
      </c>
    </row>
    <row r="50" spans="1:8" x14ac:dyDescent="0.35">
      <c r="A50" t="s">
        <v>100</v>
      </c>
      <c r="B50" t="s">
        <v>101</v>
      </c>
      <c r="C50">
        <v>0.16428946276544701</v>
      </c>
      <c r="D50">
        <v>0.39084486000000002</v>
      </c>
      <c r="E50">
        <v>-1.73435735</v>
      </c>
      <c r="F50">
        <v>1400034266.6203699</v>
      </c>
      <c r="G50">
        <v>18561688.217041999</v>
      </c>
      <c r="H50">
        <v>8521753270.4405499</v>
      </c>
    </row>
    <row r="51" spans="1:8" x14ac:dyDescent="0.35">
      <c r="A51" t="s">
        <v>102</v>
      </c>
      <c r="B51" t="s">
        <v>103</v>
      </c>
      <c r="C51">
        <v>5.4791428215047402</v>
      </c>
      <c r="D51">
        <v>-1.99767268</v>
      </c>
      <c r="E51">
        <v>-7.2131648000000004</v>
      </c>
      <c r="F51">
        <v>1377858804.26507</v>
      </c>
      <c r="G51">
        <v>13996603.256834099</v>
      </c>
      <c r="H51">
        <v>251473423.69999999</v>
      </c>
    </row>
    <row r="52" spans="1:8" x14ac:dyDescent="0.35">
      <c r="A52" t="s">
        <v>104</v>
      </c>
      <c r="B52" t="s">
        <v>105</v>
      </c>
      <c r="C52">
        <v>0.99984869784091401</v>
      </c>
      <c r="D52">
        <v>0.10578078</v>
      </c>
      <c r="E52">
        <v>8.5826500000000007E-3</v>
      </c>
      <c r="F52">
        <v>1335929114.1066101</v>
      </c>
      <c r="G52">
        <v>166921581.74597299</v>
      </c>
      <c r="H52">
        <v>1336131273.6531301</v>
      </c>
    </row>
    <row r="53" spans="1:8" x14ac:dyDescent="0.35">
      <c r="A53" t="s">
        <v>106</v>
      </c>
      <c r="B53" t="s">
        <v>107</v>
      </c>
      <c r="C53">
        <v>10.0941111456198</v>
      </c>
      <c r="D53">
        <v>-0.97213908999999998</v>
      </c>
      <c r="E53">
        <v>-5.8462755299999998</v>
      </c>
      <c r="F53">
        <v>1333987477.85062</v>
      </c>
      <c r="G53">
        <v>4687891.3376156203</v>
      </c>
      <c r="H53">
        <v>132155021.735567</v>
      </c>
    </row>
    <row r="54" spans="1:8" x14ac:dyDescent="0.35">
      <c r="A54" t="s">
        <v>108</v>
      </c>
      <c r="B54" t="s">
        <v>109</v>
      </c>
      <c r="C54">
        <v>0.45864219708027998</v>
      </c>
      <c r="D54">
        <v>-1.6730557500000001</v>
      </c>
      <c r="E54">
        <v>-10.28969596</v>
      </c>
      <c r="F54">
        <v>1275182097.9386401</v>
      </c>
      <c r="G54">
        <v>390584589.09755099</v>
      </c>
      <c r="H54">
        <v>2780341857.0215702</v>
      </c>
    </row>
    <row r="55" spans="1:8" x14ac:dyDescent="0.35">
      <c r="A55" t="s">
        <v>110</v>
      </c>
      <c r="B55" t="s">
        <v>111</v>
      </c>
      <c r="C55">
        <v>0.152476092348552</v>
      </c>
      <c r="D55">
        <v>-0.81948372999999997</v>
      </c>
      <c r="E55">
        <v>-8.1430329500000003</v>
      </c>
      <c r="F55">
        <v>1213376153.6424601</v>
      </c>
      <c r="G55">
        <v>193252313.44369799</v>
      </c>
      <c r="H55">
        <v>7957812500</v>
      </c>
    </row>
    <row r="56" spans="1:8" x14ac:dyDescent="0.35">
      <c r="A56" t="s">
        <v>112</v>
      </c>
      <c r="B56" t="s">
        <v>113</v>
      </c>
      <c r="C56">
        <v>0.10966729018881199</v>
      </c>
      <c r="D56">
        <v>-0.86970506000000003</v>
      </c>
      <c r="E56">
        <v>-6.5591100600000001</v>
      </c>
      <c r="F56">
        <v>1160568672.47175</v>
      </c>
      <c r="G56">
        <v>100536885.227268</v>
      </c>
      <c r="H56">
        <v>10582632893.305</v>
      </c>
    </row>
    <row r="57" spans="1:8" x14ac:dyDescent="0.35">
      <c r="A57" t="s">
        <v>114</v>
      </c>
      <c r="B57" t="s">
        <v>114</v>
      </c>
      <c r="C57">
        <v>0.99810411764851903</v>
      </c>
      <c r="D57">
        <v>7.3586059999999995E-2</v>
      </c>
      <c r="E57">
        <v>-4.5058580000000001E-2</v>
      </c>
      <c r="F57">
        <v>1111320630.7444301</v>
      </c>
      <c r="G57">
        <v>3706165.1793804802</v>
      </c>
      <c r="H57">
        <v>1113431566</v>
      </c>
    </row>
    <row r="58" spans="1:8" x14ac:dyDescent="0.35">
      <c r="A58" t="s">
        <v>115</v>
      </c>
      <c r="B58" t="s">
        <v>116</v>
      </c>
      <c r="C58">
        <v>1.4385859926847999</v>
      </c>
      <c r="D58">
        <v>-1.0589861</v>
      </c>
      <c r="E58">
        <v>-7.7887692800000004</v>
      </c>
      <c r="F58">
        <v>1101064286.47487</v>
      </c>
      <c r="G58">
        <v>107999948.06795</v>
      </c>
      <c r="H58">
        <v>765379540.79476404</v>
      </c>
    </row>
    <row r="59" spans="1:8" x14ac:dyDescent="0.35">
      <c r="A59" t="s">
        <v>117</v>
      </c>
      <c r="B59" t="s">
        <v>118</v>
      </c>
      <c r="C59">
        <v>9.33489046267138</v>
      </c>
      <c r="D59">
        <v>-0.70984290999999999</v>
      </c>
      <c r="E59">
        <v>-4.1875526799999996</v>
      </c>
      <c r="F59">
        <v>1075198032.8388</v>
      </c>
      <c r="G59">
        <v>4985982.4741293304</v>
      </c>
      <c r="H59">
        <v>115180573.048858</v>
      </c>
    </row>
    <row r="60" spans="1:8" x14ac:dyDescent="0.35">
      <c r="A60" t="s">
        <v>119</v>
      </c>
      <c r="B60" t="s">
        <v>120</v>
      </c>
      <c r="C60">
        <v>3.7645763046081901E-2</v>
      </c>
      <c r="D60">
        <v>-0.66624265000000005</v>
      </c>
      <c r="E60">
        <v>-4.1606352800000002</v>
      </c>
      <c r="F60">
        <v>1022407810.4653</v>
      </c>
      <c r="G60">
        <v>32261892.5535478</v>
      </c>
      <c r="H60">
        <v>27158642241.194099</v>
      </c>
    </row>
    <row r="61" spans="1:8" x14ac:dyDescent="0.35">
      <c r="A61" t="s">
        <v>121</v>
      </c>
      <c r="B61" t="s">
        <v>122</v>
      </c>
      <c r="C61">
        <v>2.0719902825781298</v>
      </c>
      <c r="D61">
        <v>-0.29996507</v>
      </c>
      <c r="E61">
        <v>-5.4393754300000001</v>
      </c>
      <c r="F61">
        <v>1016272570.2659</v>
      </c>
      <c r="G61">
        <v>59188630.196363501</v>
      </c>
      <c r="H61">
        <v>490481340</v>
      </c>
    </row>
    <row r="62" spans="1:8" x14ac:dyDescent="0.35">
      <c r="A62" t="s">
        <v>123</v>
      </c>
      <c r="B62" t="s">
        <v>124</v>
      </c>
      <c r="C62">
        <v>0.11113176877748999</v>
      </c>
      <c r="D62">
        <v>-0.26410342999999997</v>
      </c>
      <c r="E62">
        <v>-9.0255840900000006</v>
      </c>
      <c r="F62">
        <v>985515832.67347598</v>
      </c>
      <c r="G62">
        <v>60798986.6984438</v>
      </c>
      <c r="H62">
        <v>8867993765.5513496</v>
      </c>
    </row>
    <row r="63" spans="1:8" x14ac:dyDescent="0.35">
      <c r="A63" t="s">
        <v>125</v>
      </c>
      <c r="B63" t="s">
        <v>126</v>
      </c>
      <c r="C63">
        <v>2.6846977684150601E-3</v>
      </c>
      <c r="D63">
        <v>-0.87424694999999997</v>
      </c>
      <c r="E63">
        <v>-10.36287067</v>
      </c>
      <c r="F63">
        <v>950383010.01893401</v>
      </c>
      <c r="G63">
        <v>315285581.52283502</v>
      </c>
      <c r="H63">
        <v>354000000000</v>
      </c>
    </row>
    <row r="64" spans="1:8" x14ac:dyDescent="0.35">
      <c r="A64" t="s">
        <v>127</v>
      </c>
      <c r="B64" t="s">
        <v>128</v>
      </c>
      <c r="C64">
        <v>4.5018612118833197</v>
      </c>
      <c r="D64">
        <v>-0.52584805000000001</v>
      </c>
      <c r="E64">
        <v>-4.0708534500000004</v>
      </c>
      <c r="F64">
        <v>900368483.97458005</v>
      </c>
      <c r="G64">
        <v>229749821.88957199</v>
      </c>
      <c r="H64">
        <v>199999165.144835</v>
      </c>
    </row>
    <row r="65" spans="1:8" x14ac:dyDescent="0.35">
      <c r="A65" t="s">
        <v>129</v>
      </c>
      <c r="B65" t="s">
        <v>130</v>
      </c>
      <c r="C65">
        <v>0.15267476745342001</v>
      </c>
      <c r="D65">
        <v>-1.0192256900000001</v>
      </c>
      <c r="E65">
        <v>-8.53861296</v>
      </c>
      <c r="F65">
        <v>889603051.74644303</v>
      </c>
      <c r="G65">
        <v>150855180.16791701</v>
      </c>
      <c r="H65">
        <v>5826785045</v>
      </c>
    </row>
    <row r="66" spans="1:8" x14ac:dyDescent="0.35">
      <c r="A66" t="s">
        <v>131</v>
      </c>
      <c r="B66" t="s">
        <v>132</v>
      </c>
      <c r="C66">
        <v>5.29475763849876E-2</v>
      </c>
      <c r="D66">
        <v>-1.57267468</v>
      </c>
      <c r="E66">
        <v>-8.0630981300000002</v>
      </c>
      <c r="F66">
        <v>879321548.34044504</v>
      </c>
      <c r="G66">
        <v>18692698.739089999</v>
      </c>
      <c r="H66">
        <v>16607399401</v>
      </c>
    </row>
    <row r="67" spans="1:8" x14ac:dyDescent="0.35">
      <c r="A67" t="s">
        <v>133</v>
      </c>
      <c r="B67" t="s">
        <v>134</v>
      </c>
      <c r="C67">
        <v>1.6818732849767299</v>
      </c>
      <c r="D67">
        <v>-0.52230840999999995</v>
      </c>
      <c r="E67">
        <v>-9.0741541399999992</v>
      </c>
      <c r="F67">
        <v>872412418.34274197</v>
      </c>
      <c r="G67">
        <v>98536526.741060406</v>
      </c>
      <c r="H67">
        <v>518714713.01407403</v>
      </c>
    </row>
    <row r="68" spans="1:8" x14ac:dyDescent="0.35">
      <c r="A68" t="s">
        <v>135</v>
      </c>
      <c r="B68" t="s">
        <v>136</v>
      </c>
      <c r="C68">
        <v>1.15522995342294</v>
      </c>
      <c r="D68">
        <v>-0.46861037</v>
      </c>
      <c r="E68">
        <v>-7.4819441199999996</v>
      </c>
      <c r="F68">
        <v>855896968.57247698</v>
      </c>
      <c r="G68">
        <v>174869369.17232201</v>
      </c>
      <c r="H68">
        <v>740888830</v>
      </c>
    </row>
    <row r="69" spans="1:8" x14ac:dyDescent="0.35">
      <c r="A69" t="s">
        <v>137</v>
      </c>
      <c r="B69" t="s">
        <v>138</v>
      </c>
      <c r="C69">
        <v>70.472661745291603</v>
      </c>
      <c r="D69">
        <v>-1.0558435799999999</v>
      </c>
      <c r="E69">
        <v>-6.9681277599999998</v>
      </c>
      <c r="F69">
        <v>850797981.41352797</v>
      </c>
      <c r="G69">
        <v>20472175.143283501</v>
      </c>
      <c r="H69">
        <v>12072738</v>
      </c>
    </row>
    <row r="70" spans="1:8" x14ac:dyDescent="0.35">
      <c r="A70" t="s">
        <v>139</v>
      </c>
      <c r="B70" t="s">
        <v>140</v>
      </c>
      <c r="C70">
        <v>9.9809603925663203E-3</v>
      </c>
      <c r="D70">
        <v>-1.4945164900000001</v>
      </c>
      <c r="E70">
        <v>-4.2353361200000004</v>
      </c>
      <c r="F70">
        <v>829523844.70357704</v>
      </c>
      <c r="G70">
        <v>5959164.1299737599</v>
      </c>
      <c r="H70">
        <v>83110623835.497299</v>
      </c>
    </row>
    <row r="71" spans="1:8" x14ac:dyDescent="0.35">
      <c r="A71" t="s">
        <v>141</v>
      </c>
      <c r="B71" t="s">
        <v>142</v>
      </c>
      <c r="C71">
        <v>9.0396099601772802E-3</v>
      </c>
      <c r="D71">
        <v>-0.97649660999999999</v>
      </c>
      <c r="E71">
        <v>-9.6363271299999997</v>
      </c>
      <c r="F71">
        <v>777271234.64986205</v>
      </c>
      <c r="G71">
        <v>37555801.632633403</v>
      </c>
      <c r="H71">
        <v>85985041177</v>
      </c>
    </row>
    <row r="72" spans="1:8" x14ac:dyDescent="0.35">
      <c r="A72" t="s">
        <v>143</v>
      </c>
      <c r="B72" t="s">
        <v>144</v>
      </c>
      <c r="C72">
        <v>39.201389512446198</v>
      </c>
      <c r="D72">
        <v>-12.625485019999999</v>
      </c>
      <c r="E72">
        <v>-22.006666150000001</v>
      </c>
      <c r="F72">
        <v>768347234.443946</v>
      </c>
      <c r="G72">
        <v>97681165.133685306</v>
      </c>
      <c r="H72">
        <v>19600000</v>
      </c>
    </row>
    <row r="73" spans="1:8" x14ac:dyDescent="0.35">
      <c r="A73" t="s">
        <v>145</v>
      </c>
      <c r="B73" t="s">
        <v>146</v>
      </c>
      <c r="C73">
        <v>0.99857631851329598</v>
      </c>
      <c r="D73">
        <v>1.7604849999999998E-2</v>
      </c>
      <c r="E73">
        <v>2.01326E-2</v>
      </c>
      <c r="F73">
        <v>758818162.462556</v>
      </c>
      <c r="G73">
        <v>31134454.364266999</v>
      </c>
      <c r="H73">
        <v>759900018.04999995</v>
      </c>
    </row>
    <row r="74" spans="1:8" x14ac:dyDescent="0.35">
      <c r="A74" t="s">
        <v>147</v>
      </c>
      <c r="B74" t="s">
        <v>148</v>
      </c>
      <c r="C74">
        <v>3.7262840481055999E-2</v>
      </c>
      <c r="D74">
        <v>-0.48806140999999997</v>
      </c>
      <c r="E74">
        <v>-1.9981163</v>
      </c>
      <c r="F74">
        <v>711248747.38041902</v>
      </c>
      <c r="G74">
        <v>25398496.515606701</v>
      </c>
      <c r="H74">
        <v>19087346487.77</v>
      </c>
    </row>
    <row r="75" spans="1:8" x14ac:dyDescent="0.35">
      <c r="A75" t="s">
        <v>149</v>
      </c>
      <c r="B75" t="s">
        <v>150</v>
      </c>
      <c r="C75" s="1">
        <v>7.9339671315187298E-6</v>
      </c>
      <c r="D75">
        <v>-1.18429172</v>
      </c>
      <c r="E75">
        <v>-6.20754071</v>
      </c>
      <c r="F75">
        <v>698150717.23534095</v>
      </c>
      <c r="G75">
        <v>122270868.835309</v>
      </c>
      <c r="H75">
        <v>87995161268294.797</v>
      </c>
    </row>
    <row r="76" spans="1:8" x14ac:dyDescent="0.35">
      <c r="A76" t="s">
        <v>151</v>
      </c>
      <c r="B76" t="s">
        <v>152</v>
      </c>
      <c r="C76">
        <v>51.456370924058596</v>
      </c>
      <c r="D76">
        <v>-2.0481614399999999</v>
      </c>
      <c r="E76">
        <v>-8.4547506600000002</v>
      </c>
      <c r="F76">
        <v>647009684.12982905</v>
      </c>
      <c r="G76">
        <v>174814567.731655</v>
      </c>
      <c r="H76">
        <v>12573947.0644891</v>
      </c>
    </row>
    <row r="77" spans="1:8" x14ac:dyDescent="0.35">
      <c r="A77" t="s">
        <v>153</v>
      </c>
      <c r="B77" t="s">
        <v>154</v>
      </c>
      <c r="C77">
        <v>1.8013983403905101</v>
      </c>
      <c r="D77">
        <v>-2.9285333599999999</v>
      </c>
      <c r="E77">
        <v>-9.8702482899999993</v>
      </c>
      <c r="F77">
        <v>629635023.10942495</v>
      </c>
      <c r="G77">
        <v>196089281.76956001</v>
      </c>
      <c r="H77">
        <v>349525704</v>
      </c>
    </row>
    <row r="78" spans="1:8" x14ac:dyDescent="0.35">
      <c r="A78" t="s">
        <v>155</v>
      </c>
      <c r="B78" t="s">
        <v>156</v>
      </c>
      <c r="C78">
        <v>9.4812789733060301E-2</v>
      </c>
      <c r="D78">
        <v>-0.62072738999999999</v>
      </c>
      <c r="E78">
        <v>-9.9625916700000001</v>
      </c>
      <c r="F78">
        <v>626923235.20275402</v>
      </c>
      <c r="G78">
        <v>73758831.024411201</v>
      </c>
      <c r="H78">
        <v>6612222222</v>
      </c>
    </row>
    <row r="79" spans="1:8" x14ac:dyDescent="0.35">
      <c r="A79" t="s">
        <v>157</v>
      </c>
      <c r="B79" t="s">
        <v>158</v>
      </c>
      <c r="C79">
        <v>0.19190718170781801</v>
      </c>
      <c r="D79">
        <v>-1.1250583300000001</v>
      </c>
      <c r="E79">
        <v>-9.0432737900000006</v>
      </c>
      <c r="F79">
        <v>622526036.16694498</v>
      </c>
      <c r="G79">
        <v>46483696.479856797</v>
      </c>
      <c r="H79">
        <v>3243891294.8800001</v>
      </c>
    </row>
    <row r="80" spans="1:8" x14ac:dyDescent="0.35">
      <c r="A80" t="s">
        <v>159</v>
      </c>
      <c r="B80" t="s">
        <v>160</v>
      </c>
      <c r="C80">
        <v>1.9701688463937601</v>
      </c>
      <c r="D80">
        <v>-1.3422722</v>
      </c>
      <c r="E80">
        <v>-3.4091904099999999</v>
      </c>
      <c r="F80">
        <v>582936810.69097602</v>
      </c>
      <c r="G80">
        <v>159382475.486781</v>
      </c>
      <c r="H80">
        <v>295881650.83312303</v>
      </c>
    </row>
    <row r="81" spans="1:8" x14ac:dyDescent="0.35">
      <c r="A81" t="s">
        <v>161</v>
      </c>
      <c r="B81" t="s">
        <v>162</v>
      </c>
      <c r="C81">
        <v>0.88847910298653598</v>
      </c>
      <c r="D81">
        <v>-0.74863303000000003</v>
      </c>
      <c r="E81">
        <v>-4.1026607500000001</v>
      </c>
      <c r="F81">
        <v>574087075.94379795</v>
      </c>
      <c r="G81">
        <v>11684178.417086201</v>
      </c>
      <c r="H81">
        <v>646145839.57468402</v>
      </c>
    </row>
    <row r="82" spans="1:8" x14ac:dyDescent="0.35">
      <c r="A82" t="s">
        <v>163</v>
      </c>
      <c r="B82" t="s">
        <v>164</v>
      </c>
      <c r="C82">
        <v>1.6857236586128299</v>
      </c>
      <c r="D82">
        <v>-1.13323708</v>
      </c>
      <c r="E82">
        <v>-10.583788930000001</v>
      </c>
      <c r="F82">
        <v>562189553.96812105</v>
      </c>
      <c r="G82">
        <v>68818940.942027703</v>
      </c>
      <c r="H82">
        <v>333500423.45062798</v>
      </c>
    </row>
    <row r="83" spans="1:8" x14ac:dyDescent="0.35">
      <c r="A83" t="s">
        <v>165</v>
      </c>
      <c r="B83" t="s">
        <v>166</v>
      </c>
      <c r="C83">
        <v>8.7004475213736405E-3</v>
      </c>
      <c r="D83">
        <v>-0.88645600999999996</v>
      </c>
      <c r="E83">
        <v>-10.543163229999999</v>
      </c>
      <c r="F83">
        <v>546913577.35415399</v>
      </c>
      <c r="G83">
        <v>190171633.99365801</v>
      </c>
      <c r="H83">
        <v>62860396090.040001</v>
      </c>
    </row>
    <row r="84" spans="1:8" x14ac:dyDescent="0.35">
      <c r="A84" t="s">
        <v>167</v>
      </c>
      <c r="B84" t="s">
        <v>168</v>
      </c>
      <c r="C84">
        <v>0.49812052985035798</v>
      </c>
      <c r="D84">
        <v>-0.19850988</v>
      </c>
      <c r="E84">
        <v>-4.6145860000000001</v>
      </c>
      <c r="F84">
        <v>534850840.58842802</v>
      </c>
      <c r="G84">
        <v>26498126.866404399</v>
      </c>
      <c r="H84">
        <v>1073737797.4545701</v>
      </c>
    </row>
    <row r="85" spans="1:8" x14ac:dyDescent="0.35">
      <c r="A85" t="s">
        <v>169</v>
      </c>
      <c r="B85" t="s">
        <v>170</v>
      </c>
      <c r="C85">
        <v>0.26155953450679298</v>
      </c>
      <c r="D85">
        <v>-0.66372089999999995</v>
      </c>
      <c r="E85">
        <v>-9.6686903300000004</v>
      </c>
      <c r="F85">
        <v>508495928.553469</v>
      </c>
      <c r="G85">
        <v>122632451.988819</v>
      </c>
      <c r="H85">
        <v>1944092497</v>
      </c>
    </row>
    <row r="86" spans="1:8" x14ac:dyDescent="0.35">
      <c r="A86" t="s">
        <v>171</v>
      </c>
      <c r="B86" t="s">
        <v>172</v>
      </c>
      <c r="C86">
        <v>0.27630398484763902</v>
      </c>
      <c r="D86">
        <v>-0.31912283000000002</v>
      </c>
      <c r="E86">
        <v>-5.4862534600000004</v>
      </c>
      <c r="F86">
        <v>501382810.204624</v>
      </c>
      <c r="G86">
        <v>19036360.917030901</v>
      </c>
      <c r="H86">
        <v>1814605788.19049</v>
      </c>
    </row>
    <row r="87" spans="1:8" x14ac:dyDescent="0.35">
      <c r="A87" t="s">
        <v>173</v>
      </c>
      <c r="B87" t="s">
        <v>174</v>
      </c>
      <c r="C87">
        <v>4.83002605873794E-2</v>
      </c>
      <c r="D87">
        <v>0.57748657999999997</v>
      </c>
      <c r="E87">
        <v>-9.0363152499999995</v>
      </c>
      <c r="F87">
        <v>494903521.14667398</v>
      </c>
      <c r="G87">
        <v>161436406.74625301</v>
      </c>
      <c r="H87">
        <v>10246394432</v>
      </c>
    </row>
    <row r="88" spans="1:8" x14ac:dyDescent="0.35">
      <c r="A88" t="s">
        <v>175</v>
      </c>
      <c r="B88" t="s">
        <v>176</v>
      </c>
      <c r="C88">
        <v>0.99773379909180504</v>
      </c>
      <c r="D88">
        <v>4.4999299999999999E-2</v>
      </c>
      <c r="E88">
        <v>-4.2562219999999998E-2</v>
      </c>
      <c r="F88">
        <v>493394412.46978903</v>
      </c>
      <c r="G88">
        <v>20973837.1453509</v>
      </c>
      <c r="H88">
        <v>494515083</v>
      </c>
    </row>
    <row r="89" spans="1:8" x14ac:dyDescent="0.35">
      <c r="A89" t="s">
        <v>177</v>
      </c>
      <c r="B89" t="s">
        <v>178</v>
      </c>
      <c r="C89">
        <v>0.72624720126033304</v>
      </c>
      <c r="D89">
        <v>-1.77750432</v>
      </c>
      <c r="E89">
        <v>-10.619726849999999</v>
      </c>
      <c r="F89">
        <v>476616154.50715899</v>
      </c>
      <c r="G89">
        <v>175785820.83735701</v>
      </c>
      <c r="H89">
        <v>656272621.33339202</v>
      </c>
    </row>
    <row r="90" spans="1:8" x14ac:dyDescent="0.35">
      <c r="A90" t="s">
        <v>179</v>
      </c>
      <c r="B90" t="s">
        <v>180</v>
      </c>
      <c r="C90">
        <v>0.20628981860838899</v>
      </c>
      <c r="D90">
        <v>-1.02204786</v>
      </c>
      <c r="E90">
        <v>-7.5460197600000001</v>
      </c>
      <c r="F90">
        <v>471857685.88439101</v>
      </c>
      <c r="G90">
        <v>66408913.8177834</v>
      </c>
      <c r="H90">
        <v>2287353244.4184399</v>
      </c>
    </row>
    <row r="91" spans="1:8" x14ac:dyDescent="0.35">
      <c r="A91" t="s">
        <v>181</v>
      </c>
      <c r="B91" t="s">
        <v>182</v>
      </c>
      <c r="C91">
        <v>0.31553742845272498</v>
      </c>
      <c r="D91">
        <v>-1.16726956</v>
      </c>
      <c r="E91">
        <v>-6.5941648600000002</v>
      </c>
      <c r="F91">
        <v>460728677.12264901</v>
      </c>
      <c r="G91">
        <v>93621029.395305797</v>
      </c>
      <c r="H91">
        <v>1460139544.7186301</v>
      </c>
    </row>
    <row r="92" spans="1:8" x14ac:dyDescent="0.35">
      <c r="A92" t="s">
        <v>183</v>
      </c>
      <c r="B92" t="s">
        <v>184</v>
      </c>
      <c r="C92">
        <v>0.99669393902835501</v>
      </c>
      <c r="D92">
        <v>1.535106E-2</v>
      </c>
      <c r="E92">
        <v>-9.1949149999999993E-2</v>
      </c>
      <c r="F92">
        <v>456632277.69513899</v>
      </c>
      <c r="G92">
        <v>11378638930.896999</v>
      </c>
      <c r="H92">
        <v>458146939.41080397</v>
      </c>
    </row>
    <row r="93" spans="1:8" x14ac:dyDescent="0.35">
      <c r="A93" t="s">
        <v>185</v>
      </c>
      <c r="B93" t="s">
        <v>186</v>
      </c>
      <c r="C93">
        <v>1.19442520924977</v>
      </c>
      <c r="D93">
        <v>-0.45393533000000003</v>
      </c>
      <c r="E93">
        <v>-0.39533655000000001</v>
      </c>
      <c r="F93">
        <v>452280470.95354599</v>
      </c>
      <c r="G93">
        <v>27810541.2833101</v>
      </c>
      <c r="H93">
        <v>378659515.43137997</v>
      </c>
    </row>
    <row r="94" spans="1:8" x14ac:dyDescent="0.35">
      <c r="A94" t="s">
        <v>187</v>
      </c>
      <c r="B94" t="s">
        <v>188</v>
      </c>
      <c r="C94">
        <v>2.52660909883776E-2</v>
      </c>
      <c r="D94">
        <v>-0.13147175999999999</v>
      </c>
      <c r="E94">
        <v>-12.46150454</v>
      </c>
      <c r="F94">
        <v>444683201.39544499</v>
      </c>
      <c r="G94">
        <v>97790440.918288395</v>
      </c>
      <c r="H94">
        <v>17600000000</v>
      </c>
    </row>
    <row r="95" spans="1:8" x14ac:dyDescent="0.35">
      <c r="A95" t="s">
        <v>189</v>
      </c>
      <c r="B95" t="s">
        <v>190</v>
      </c>
      <c r="C95">
        <v>0.123533867053455</v>
      </c>
      <c r="D95">
        <v>-1.4623291700000001</v>
      </c>
      <c r="E95">
        <v>2.4718252700000001</v>
      </c>
      <c r="F95">
        <v>428837627.932037</v>
      </c>
      <c r="G95">
        <v>29197641.119012401</v>
      </c>
      <c r="H95">
        <v>3471417500</v>
      </c>
    </row>
    <row r="96" spans="1:8" x14ac:dyDescent="0.35">
      <c r="A96" t="s">
        <v>191</v>
      </c>
      <c r="B96" t="s">
        <v>191</v>
      </c>
      <c r="C96">
        <v>1.1917834919106001</v>
      </c>
      <c r="D96">
        <v>-5.3818570000000003E-2</v>
      </c>
      <c r="E96">
        <v>-0.55817797000000002</v>
      </c>
      <c r="F96">
        <v>410118798.23619699</v>
      </c>
      <c r="G96">
        <v>73594835.027719393</v>
      </c>
      <c r="H96">
        <v>344121898.83475798</v>
      </c>
    </row>
    <row r="97" spans="1:8" x14ac:dyDescent="0.35">
      <c r="A97" t="s">
        <v>192</v>
      </c>
      <c r="B97" t="s">
        <v>193</v>
      </c>
      <c r="C97">
        <v>0.201292569541838</v>
      </c>
      <c r="D97">
        <v>-0.68776791000000004</v>
      </c>
      <c r="E97">
        <v>-10.758371070000001</v>
      </c>
      <c r="F97">
        <v>400365391.15277302</v>
      </c>
      <c r="G97">
        <v>24755171.244903401</v>
      </c>
      <c r="H97">
        <v>1988972529.20981</v>
      </c>
    </row>
    <row r="98" spans="1:8" x14ac:dyDescent="0.35">
      <c r="A98" t="s">
        <v>194</v>
      </c>
      <c r="B98" t="s">
        <v>195</v>
      </c>
      <c r="C98">
        <v>3.9863510074157502</v>
      </c>
      <c r="D98">
        <v>-0.10521712</v>
      </c>
      <c r="E98">
        <v>-8.7526936200000005</v>
      </c>
      <c r="F98">
        <v>398519239.08394903</v>
      </c>
      <c r="G98">
        <v>62286781.318906397</v>
      </c>
      <c r="H98">
        <v>99970935.409999996</v>
      </c>
    </row>
    <row r="99" spans="1:8" x14ac:dyDescent="0.35">
      <c r="A99" t="s">
        <v>196</v>
      </c>
      <c r="B99" t="s">
        <v>197</v>
      </c>
      <c r="C99">
        <v>1.5810203755190999</v>
      </c>
      <c r="D99">
        <v>-1.6575695500000001</v>
      </c>
      <c r="E99">
        <v>-13.964329149999999</v>
      </c>
      <c r="F99">
        <v>395255093.87977499</v>
      </c>
      <c r="G99">
        <v>161221515.71314499</v>
      </c>
      <c r="H99">
        <v>250000000</v>
      </c>
    </row>
    <row r="100" spans="1:8" x14ac:dyDescent="0.35">
      <c r="A100" t="s">
        <v>198</v>
      </c>
      <c r="B100" t="s">
        <v>199</v>
      </c>
      <c r="C100">
        <v>0.46484373577562099</v>
      </c>
      <c r="D100">
        <v>-1.31782993</v>
      </c>
      <c r="E100">
        <v>-8.8360745699999992</v>
      </c>
      <c r="F100">
        <v>393521275.10085499</v>
      </c>
      <c r="G100">
        <v>52747904.5436216</v>
      </c>
      <c r="H100">
        <v>846566802.59278798</v>
      </c>
    </row>
    <row r="101" spans="1:8" x14ac:dyDescent="0.35">
      <c r="A101" t="s">
        <v>200</v>
      </c>
      <c r="B101" t="s">
        <v>201</v>
      </c>
      <c r="C101">
        <v>0.33919794891766802</v>
      </c>
      <c r="D101">
        <v>0.53382399999999997</v>
      </c>
      <c r="E101">
        <v>-1.9286203500000001</v>
      </c>
      <c r="F101">
        <v>392501445.507985</v>
      </c>
      <c r="G101">
        <v>25203918.6633307</v>
      </c>
      <c r="H101">
        <v>1157145692.5385301</v>
      </c>
    </row>
    <row r="102" spans="1:8" x14ac:dyDescent="0.35">
      <c r="A102" t="s">
        <v>202</v>
      </c>
      <c r="B102" t="s">
        <v>203</v>
      </c>
      <c r="C102">
        <v>4.2942557873999698E-2</v>
      </c>
      <c r="D102">
        <v>-0.45714451</v>
      </c>
      <c r="E102">
        <v>-1.11758051</v>
      </c>
      <c r="F102">
        <v>378543324.987674</v>
      </c>
      <c r="G102">
        <v>35262606.036764801</v>
      </c>
      <c r="H102">
        <v>8815108920.5813007</v>
      </c>
    </row>
    <row r="103" spans="1:8" x14ac:dyDescent="0.35">
      <c r="A103" t="s">
        <v>204</v>
      </c>
      <c r="B103" t="s">
        <v>205</v>
      </c>
      <c r="C103">
        <v>0.409936116910397</v>
      </c>
      <c r="D103">
        <v>-1.00164096</v>
      </c>
      <c r="E103">
        <v>-9.6783083300000001</v>
      </c>
      <c r="F103">
        <v>375895680.84536803</v>
      </c>
      <c r="G103">
        <v>27616142.369564202</v>
      </c>
      <c r="H103">
        <v>916961607.77053404</v>
      </c>
    </row>
    <row r="104" spans="1:8" x14ac:dyDescent="0.35">
      <c r="A104" t="s">
        <v>206</v>
      </c>
      <c r="B104" t="s">
        <v>207</v>
      </c>
      <c r="C104" s="1">
        <v>3.8003850663966498E-7</v>
      </c>
      <c r="D104">
        <v>-0.15794171000000001</v>
      </c>
      <c r="E104">
        <v>-4.4974717699999998</v>
      </c>
      <c r="F104">
        <v>374741204.18677598</v>
      </c>
      <c r="G104">
        <v>14568497.0338636</v>
      </c>
      <c r="H104">
        <v>986061142857000</v>
      </c>
    </row>
    <row r="105" spans="1:8" x14ac:dyDescent="0.35">
      <c r="A105" t="s">
        <v>208</v>
      </c>
      <c r="B105" t="s">
        <v>209</v>
      </c>
      <c r="C105">
        <v>0.53494294390792996</v>
      </c>
      <c r="D105">
        <v>-1.13585121</v>
      </c>
      <c r="E105">
        <v>-11.474442700000001</v>
      </c>
      <c r="F105">
        <v>374119574.90118301</v>
      </c>
      <c r="G105">
        <v>50864427.169971801</v>
      </c>
      <c r="H105">
        <v>699363510</v>
      </c>
    </row>
    <row r="106" spans="1:8" x14ac:dyDescent="0.35">
      <c r="A106" t="s">
        <v>210</v>
      </c>
      <c r="B106" t="s">
        <v>211</v>
      </c>
      <c r="C106">
        <v>1.8864658822649601E-2</v>
      </c>
      <c r="D106">
        <v>0.59780763000000003</v>
      </c>
      <c r="E106">
        <v>3.7948184899999999</v>
      </c>
      <c r="F106">
        <v>362284631.33186603</v>
      </c>
      <c r="G106">
        <v>43292062.303274602</v>
      </c>
      <c r="H106">
        <v>19204409405.851101</v>
      </c>
    </row>
    <row r="107" spans="1:8" x14ac:dyDescent="0.35">
      <c r="A107" t="s">
        <v>212</v>
      </c>
      <c r="B107" t="s">
        <v>212</v>
      </c>
      <c r="C107" s="1">
        <v>3.77325589951753E-5</v>
      </c>
      <c r="D107">
        <v>-1.24655564</v>
      </c>
      <c r="E107">
        <v>-6.6594382200000002</v>
      </c>
      <c r="F107">
        <v>359946546.58812201</v>
      </c>
      <c r="G107">
        <v>57547180.2195253</v>
      </c>
      <c r="H107">
        <v>9539415194027.6895</v>
      </c>
    </row>
    <row r="108" spans="1:8" x14ac:dyDescent="0.35">
      <c r="A108" t="s">
        <v>213</v>
      </c>
      <c r="B108" t="s">
        <v>214</v>
      </c>
      <c r="C108">
        <v>2.11608937938224</v>
      </c>
      <c r="D108">
        <v>-0.57443226999999997</v>
      </c>
      <c r="E108">
        <v>-10.959014590000001</v>
      </c>
      <c r="F108">
        <v>357219107.69428998</v>
      </c>
      <c r="G108">
        <v>258152833.09464201</v>
      </c>
      <c r="H108">
        <v>168810973.286286</v>
      </c>
    </row>
    <row r="109" spans="1:8" x14ac:dyDescent="0.35">
      <c r="A109" t="s">
        <v>215</v>
      </c>
      <c r="B109" t="s">
        <v>216</v>
      </c>
      <c r="C109">
        <v>5.68880440149271E-2</v>
      </c>
      <c r="D109">
        <v>-0.83071965999999997</v>
      </c>
      <c r="E109">
        <v>-8.7004598600000005</v>
      </c>
      <c r="F109">
        <v>354485739.57244301</v>
      </c>
      <c r="G109">
        <v>27417175.095768999</v>
      </c>
      <c r="H109">
        <v>6231287183.6378803</v>
      </c>
    </row>
    <row r="110" spans="1:8" x14ac:dyDescent="0.35">
      <c r="A110" t="s">
        <v>217</v>
      </c>
      <c r="B110" t="s">
        <v>218</v>
      </c>
      <c r="C110">
        <v>3.27639235061725E-2</v>
      </c>
      <c r="D110">
        <v>-0.57220062999999999</v>
      </c>
      <c r="E110">
        <v>-7.5617918099999999</v>
      </c>
      <c r="F110">
        <v>350467951.26025802</v>
      </c>
      <c r="G110">
        <v>24161612.346684702</v>
      </c>
      <c r="H110">
        <v>10696763810.788099</v>
      </c>
    </row>
    <row r="111" spans="1:8" x14ac:dyDescent="0.35">
      <c r="A111" t="s">
        <v>219</v>
      </c>
      <c r="B111" t="s">
        <v>220</v>
      </c>
      <c r="C111">
        <v>0.81503951315228895</v>
      </c>
      <c r="D111">
        <v>-0.22853483999999999</v>
      </c>
      <c r="E111">
        <v>-6.6995410099999999</v>
      </c>
      <c r="F111">
        <v>350353305.24391001</v>
      </c>
      <c r="G111">
        <v>14942382.901508</v>
      </c>
      <c r="H111">
        <v>429860515.45999998</v>
      </c>
    </row>
    <row r="112" spans="1:8" x14ac:dyDescent="0.35">
      <c r="A112" t="s">
        <v>221</v>
      </c>
      <c r="B112" t="s">
        <v>222</v>
      </c>
      <c r="C112">
        <v>0.40010507853891297</v>
      </c>
      <c r="D112">
        <v>-0.79759882000000004</v>
      </c>
      <c r="E112">
        <v>-9.6302313900000005</v>
      </c>
      <c r="F112">
        <v>349491983.01341897</v>
      </c>
      <c r="G112">
        <v>57488865.1984725</v>
      </c>
      <c r="H112">
        <v>873500492.144912</v>
      </c>
    </row>
    <row r="113" spans="1:8" x14ac:dyDescent="0.35">
      <c r="A113" t="s">
        <v>223</v>
      </c>
      <c r="B113" t="s">
        <v>224</v>
      </c>
      <c r="C113" s="1">
        <v>3.4838122629557802E-7</v>
      </c>
      <c r="D113">
        <v>-0.32133602999999999</v>
      </c>
      <c r="E113">
        <v>1.0591765200000001</v>
      </c>
      <c r="F113">
        <v>348377742.48331499</v>
      </c>
      <c r="G113">
        <v>28075216.447365802</v>
      </c>
      <c r="H113">
        <v>999990000000000</v>
      </c>
    </row>
    <row r="114" spans="1:8" x14ac:dyDescent="0.35">
      <c r="A114" t="s">
        <v>225</v>
      </c>
      <c r="B114" t="s">
        <v>226</v>
      </c>
      <c r="C114">
        <v>130.385574237725</v>
      </c>
      <c r="D114">
        <v>-0.71832927999999996</v>
      </c>
      <c r="E114">
        <v>-6.2066785500000003</v>
      </c>
      <c r="F114">
        <v>344122164.28274602</v>
      </c>
      <c r="G114">
        <v>6421370.8919910304</v>
      </c>
      <c r="H114">
        <v>2639265.6265433598</v>
      </c>
    </row>
    <row r="115" spans="1:8" x14ac:dyDescent="0.35">
      <c r="A115" t="s">
        <v>227</v>
      </c>
      <c r="B115" t="s">
        <v>227</v>
      </c>
      <c r="C115">
        <v>7.9259465461253398E-2</v>
      </c>
      <c r="D115">
        <v>-0.39200117000000001</v>
      </c>
      <c r="E115">
        <v>-6.1853150299999999</v>
      </c>
      <c r="F115">
        <v>337799810.89722699</v>
      </c>
      <c r="G115">
        <v>24179208.153844099</v>
      </c>
      <c r="H115">
        <v>4261949143</v>
      </c>
    </row>
    <row r="116" spans="1:8" x14ac:dyDescent="0.35">
      <c r="A116" t="s">
        <v>228</v>
      </c>
      <c r="B116" t="s">
        <v>229</v>
      </c>
      <c r="C116">
        <v>5.8708060937179E-2</v>
      </c>
      <c r="D116">
        <v>-0.91674644999999999</v>
      </c>
      <c r="E116">
        <v>-7.6527361000000003</v>
      </c>
      <c r="F116">
        <v>337570326.25455302</v>
      </c>
      <c r="G116">
        <v>37419522.992183097</v>
      </c>
      <c r="H116">
        <v>5749982555.4751797</v>
      </c>
    </row>
    <row r="117" spans="1:8" x14ac:dyDescent="0.35">
      <c r="A117" t="s">
        <v>230</v>
      </c>
      <c r="B117" t="s">
        <v>231</v>
      </c>
      <c r="C117">
        <v>0.13936544281868399</v>
      </c>
      <c r="D117">
        <v>-1.4660366300000001</v>
      </c>
      <c r="E117">
        <v>-3.9502529499999999</v>
      </c>
      <c r="F117">
        <v>335970263.977718</v>
      </c>
      <c r="G117">
        <v>24513857.2812328</v>
      </c>
      <c r="H117">
        <v>2410714286</v>
      </c>
    </row>
    <row r="118" spans="1:8" x14ac:dyDescent="0.35">
      <c r="A118" t="s">
        <v>232</v>
      </c>
      <c r="B118" t="s">
        <v>233</v>
      </c>
      <c r="C118">
        <v>16.804953208605301</v>
      </c>
      <c r="D118">
        <v>-0.57289869000000004</v>
      </c>
      <c r="E118">
        <v>-4.2319155500000001</v>
      </c>
      <c r="F118">
        <v>335789537.94019598</v>
      </c>
      <c r="G118">
        <v>24294416.0667032</v>
      </c>
      <c r="H118">
        <v>19981581.25</v>
      </c>
    </row>
    <row r="119" spans="1:8" x14ac:dyDescent="0.35">
      <c r="A119" t="s">
        <v>234</v>
      </c>
      <c r="B119" t="s">
        <v>235</v>
      </c>
      <c r="C119">
        <v>6.0836569831439001E-2</v>
      </c>
      <c r="D119">
        <v>-0.87430492000000004</v>
      </c>
      <c r="E119">
        <v>-10.29409708</v>
      </c>
      <c r="F119">
        <v>316723981.11344999</v>
      </c>
      <c r="G119">
        <v>60706980.897529498</v>
      </c>
      <c r="H119">
        <v>5206144626.3489704</v>
      </c>
    </row>
    <row r="120" spans="1:8" x14ac:dyDescent="0.35">
      <c r="A120" t="s">
        <v>236</v>
      </c>
      <c r="B120" t="s">
        <v>237</v>
      </c>
      <c r="C120">
        <v>6.0763815498638699E-2</v>
      </c>
      <c r="D120">
        <v>-1.1061206299999999</v>
      </c>
      <c r="E120">
        <v>-9.0564413399999992</v>
      </c>
      <c r="F120">
        <v>314635433.11761802</v>
      </c>
      <c r="G120">
        <v>20550762.791840199</v>
      </c>
      <c r="H120">
        <v>5178006524.6999998</v>
      </c>
    </row>
    <row r="121" spans="1:8" x14ac:dyDescent="0.35">
      <c r="A121" t="s">
        <v>238</v>
      </c>
      <c r="B121" t="s">
        <v>239</v>
      </c>
      <c r="C121">
        <v>6.2856697016893098E-3</v>
      </c>
      <c r="D121">
        <v>-6.8679240000000003E-2</v>
      </c>
      <c r="E121">
        <v>-5.7339418699999998</v>
      </c>
      <c r="F121">
        <v>310794936.37082201</v>
      </c>
      <c r="G121">
        <v>29193539.033721</v>
      </c>
      <c r="H121">
        <v>49444999677.169502</v>
      </c>
    </row>
    <row r="122" spans="1:8" x14ac:dyDescent="0.35">
      <c r="A122" t="s">
        <v>240</v>
      </c>
      <c r="B122" t="s">
        <v>241</v>
      </c>
      <c r="C122">
        <v>7.9809752283634996</v>
      </c>
      <c r="D122">
        <v>-1.1062634</v>
      </c>
      <c r="E122">
        <v>-10.24122938</v>
      </c>
      <c r="F122">
        <v>304902647.08545202</v>
      </c>
      <c r="G122">
        <v>34514945.953631602</v>
      </c>
      <c r="H122">
        <v>38203682.928605199</v>
      </c>
    </row>
    <row r="123" spans="1:8" x14ac:dyDescent="0.35">
      <c r="A123" t="s">
        <v>242</v>
      </c>
      <c r="B123" t="s">
        <v>243</v>
      </c>
      <c r="C123">
        <v>3.19728491876901E-3</v>
      </c>
      <c r="D123">
        <v>-1.3710924900000001</v>
      </c>
      <c r="E123">
        <v>-10.597413299999999</v>
      </c>
      <c r="F123">
        <v>304377339.07817799</v>
      </c>
      <c r="G123">
        <v>2175191.5583892302</v>
      </c>
      <c r="H123">
        <v>95198691017.929993</v>
      </c>
    </row>
    <row r="124" spans="1:8" x14ac:dyDescent="0.35">
      <c r="A124" t="s">
        <v>244</v>
      </c>
      <c r="B124" t="s">
        <v>245</v>
      </c>
      <c r="C124">
        <v>0.112192900569575</v>
      </c>
      <c r="D124">
        <v>-0.38558787999999999</v>
      </c>
      <c r="E124">
        <v>-7.5269425999999999</v>
      </c>
      <c r="F124">
        <v>299250912.25534397</v>
      </c>
      <c r="G124">
        <v>56207123.791446902</v>
      </c>
      <c r="H124">
        <v>2667289202.22332</v>
      </c>
    </row>
    <row r="125" spans="1:8" x14ac:dyDescent="0.35">
      <c r="A125" t="s">
        <v>246</v>
      </c>
      <c r="B125" t="s">
        <v>247</v>
      </c>
      <c r="C125">
        <v>0.31925072251785702</v>
      </c>
      <c r="D125">
        <v>-1.4079621200000001</v>
      </c>
      <c r="E125">
        <v>-13.00111298</v>
      </c>
      <c r="F125">
        <v>297220216.66398001</v>
      </c>
      <c r="G125">
        <v>17292722.837986201</v>
      </c>
      <c r="H125">
        <v>930993090.07000005</v>
      </c>
    </row>
    <row r="126" spans="1:8" x14ac:dyDescent="0.35">
      <c r="A126" t="s">
        <v>248</v>
      </c>
      <c r="B126" t="s">
        <v>249</v>
      </c>
      <c r="C126">
        <v>17.089733059245201</v>
      </c>
      <c r="D126">
        <v>-1.02903279</v>
      </c>
      <c r="E126">
        <v>-5.8544280000000004</v>
      </c>
      <c r="F126">
        <v>294800537.44565803</v>
      </c>
      <c r="G126">
        <v>4265929.6292276001</v>
      </c>
      <c r="H126">
        <v>17250154.605906799</v>
      </c>
    </row>
    <row r="127" spans="1:8" x14ac:dyDescent="0.35">
      <c r="A127" t="s">
        <v>250</v>
      </c>
      <c r="B127" t="s">
        <v>251</v>
      </c>
      <c r="C127">
        <v>1.79937015311263</v>
      </c>
      <c r="D127">
        <v>-1.9802055000000001</v>
      </c>
      <c r="E127">
        <v>-8.1869369400000007</v>
      </c>
      <c r="F127">
        <v>293652658.93017</v>
      </c>
      <c r="G127">
        <v>64879662.058241397</v>
      </c>
      <c r="H127">
        <v>163197471.30527601</v>
      </c>
    </row>
    <row r="128" spans="1:8" x14ac:dyDescent="0.35">
      <c r="A128" t="s">
        <v>252</v>
      </c>
      <c r="B128" t="s">
        <v>253</v>
      </c>
      <c r="C128">
        <v>0.28753772023741903</v>
      </c>
      <c r="D128">
        <v>-1.3596209800000001</v>
      </c>
      <c r="E128">
        <v>-6.9903941200000004</v>
      </c>
      <c r="F128">
        <v>287204044.24051499</v>
      </c>
      <c r="G128">
        <v>131725055.27648801</v>
      </c>
      <c r="H128">
        <v>998839540.09015501</v>
      </c>
    </row>
    <row r="129" spans="1:8" x14ac:dyDescent="0.35">
      <c r="A129" t="s">
        <v>254</v>
      </c>
      <c r="B129" t="s">
        <v>254</v>
      </c>
      <c r="C129">
        <v>2.7970084835463901E-3</v>
      </c>
      <c r="D129">
        <v>-4.962826E-2</v>
      </c>
      <c r="E129">
        <v>-2.9630608600000001</v>
      </c>
      <c r="F129">
        <v>275977093.25525397</v>
      </c>
      <c r="G129">
        <v>7319892.4726617998</v>
      </c>
      <c r="H129">
        <v>98668665067.949997</v>
      </c>
    </row>
    <row r="130" spans="1:8" x14ac:dyDescent="0.35">
      <c r="A130" t="s">
        <v>255</v>
      </c>
      <c r="B130" t="s">
        <v>256</v>
      </c>
      <c r="C130">
        <v>3.7850140095921199E-2</v>
      </c>
      <c r="D130">
        <v>-3.46412845</v>
      </c>
      <c r="E130">
        <v>29.889913870000001</v>
      </c>
      <c r="F130">
        <v>273954729.87026</v>
      </c>
      <c r="G130">
        <v>741026352.27478099</v>
      </c>
      <c r="H130">
        <v>7237878887</v>
      </c>
    </row>
    <row r="131" spans="1:8" x14ac:dyDescent="0.35">
      <c r="A131" t="s">
        <v>257</v>
      </c>
      <c r="B131" t="s">
        <v>258</v>
      </c>
      <c r="C131">
        <v>0.26467199396360902</v>
      </c>
      <c r="D131">
        <v>-1.96034412</v>
      </c>
      <c r="E131">
        <v>-33.144207989999998</v>
      </c>
      <c r="F131">
        <v>264671002.23764801</v>
      </c>
      <c r="G131">
        <v>65711354.574785598</v>
      </c>
      <c r="H131">
        <v>999996253</v>
      </c>
    </row>
    <row r="132" spans="1:8" x14ac:dyDescent="0.35">
      <c r="A132" t="s">
        <v>259</v>
      </c>
      <c r="B132" t="s">
        <v>260</v>
      </c>
      <c r="C132">
        <v>2.6057200873447501E-3</v>
      </c>
      <c r="D132">
        <v>-0.52993124999999996</v>
      </c>
      <c r="E132">
        <v>-6.6330624399999998</v>
      </c>
      <c r="F132">
        <v>255237801.943142</v>
      </c>
      <c r="G132">
        <v>12328034.6037271</v>
      </c>
      <c r="H132">
        <v>97952885723.512894</v>
      </c>
    </row>
    <row r="133" spans="1:8" x14ac:dyDescent="0.35">
      <c r="A133" t="s">
        <v>261</v>
      </c>
      <c r="B133" t="s">
        <v>262</v>
      </c>
      <c r="C133">
        <v>5.34452146647352E-3</v>
      </c>
      <c r="D133">
        <v>-0.71146549999999997</v>
      </c>
      <c r="E133">
        <v>-7.6662985199999998</v>
      </c>
      <c r="F133">
        <v>252144872.21550301</v>
      </c>
      <c r="G133">
        <v>38406733.288070403</v>
      </c>
      <c r="H133">
        <v>47178194305.556099</v>
      </c>
    </row>
    <row r="134" spans="1:8" x14ac:dyDescent="0.35">
      <c r="A134" t="s">
        <v>263</v>
      </c>
      <c r="B134" t="s">
        <v>264</v>
      </c>
      <c r="C134">
        <v>0.24787303153836099</v>
      </c>
      <c r="D134">
        <v>-1.1125177799999999</v>
      </c>
      <c r="E134">
        <v>-15.291306730000001</v>
      </c>
      <c r="F134">
        <v>247872599.247794</v>
      </c>
      <c r="G134">
        <v>91633900.124852106</v>
      </c>
      <c r="H134">
        <v>999998256</v>
      </c>
    </row>
    <row r="135" spans="1:8" x14ac:dyDescent="0.35">
      <c r="A135" t="s">
        <v>265</v>
      </c>
      <c r="B135" t="s">
        <v>266</v>
      </c>
      <c r="C135">
        <v>0.123140705285924</v>
      </c>
      <c r="D135">
        <v>-0.31870938999999998</v>
      </c>
      <c r="E135">
        <v>-7.3030524000000003</v>
      </c>
      <c r="F135">
        <v>242553819.55895501</v>
      </c>
      <c r="G135">
        <v>33826142.237117402</v>
      </c>
      <c r="H135">
        <v>1969729010.3687501</v>
      </c>
    </row>
    <row r="136" spans="1:8" x14ac:dyDescent="0.35">
      <c r="A136" t="s">
        <v>267</v>
      </c>
      <c r="B136" t="s">
        <v>268</v>
      </c>
      <c r="C136">
        <v>2.8796899775276001</v>
      </c>
      <c r="D136">
        <v>-5.0970170000000002E-2</v>
      </c>
      <c r="E136">
        <v>-6.8581888700000002</v>
      </c>
      <c r="F136">
        <v>241127043.83357701</v>
      </c>
      <c r="G136">
        <v>6365494.7486231104</v>
      </c>
      <c r="H136">
        <v>83733681.651592106</v>
      </c>
    </row>
    <row r="137" spans="1:8" x14ac:dyDescent="0.35">
      <c r="A137" t="s">
        <v>269</v>
      </c>
      <c r="B137" t="s">
        <v>270</v>
      </c>
      <c r="C137">
        <v>0.89510607683653298</v>
      </c>
      <c r="D137">
        <v>-1.36349331</v>
      </c>
      <c r="E137">
        <v>-9.0884606600000009</v>
      </c>
      <c r="F137">
        <v>240466925.72278899</v>
      </c>
      <c r="G137">
        <v>34532426.201847702</v>
      </c>
      <c r="H137">
        <v>268646288.90985</v>
      </c>
    </row>
    <row r="138" spans="1:8" x14ac:dyDescent="0.35">
      <c r="A138" t="s">
        <v>271</v>
      </c>
      <c r="B138" t="s">
        <v>272</v>
      </c>
      <c r="C138">
        <v>0.13332160518606401</v>
      </c>
      <c r="D138">
        <v>-0.97131440000000002</v>
      </c>
      <c r="E138">
        <v>-8.3023854299999993</v>
      </c>
      <c r="F138">
        <v>239978889.334916</v>
      </c>
      <c r="G138">
        <v>80233780.207518995</v>
      </c>
      <c r="H138">
        <v>1800000000</v>
      </c>
    </row>
    <row r="139" spans="1:8" x14ac:dyDescent="0.35">
      <c r="A139" t="s">
        <v>273</v>
      </c>
      <c r="B139" t="s">
        <v>274</v>
      </c>
      <c r="C139">
        <v>0.23997035746110201</v>
      </c>
      <c r="D139">
        <v>-0.72432288</v>
      </c>
      <c r="E139">
        <v>-9.28685106</v>
      </c>
      <c r="F139">
        <v>239970357.46110201</v>
      </c>
      <c r="G139">
        <v>16020461.1379358</v>
      </c>
      <c r="H139">
        <v>1000000000</v>
      </c>
    </row>
    <row r="140" spans="1:8" x14ac:dyDescent="0.35">
      <c r="A140" t="s">
        <v>275</v>
      </c>
      <c r="B140" t="s">
        <v>276</v>
      </c>
      <c r="C140">
        <v>6.3500337044308502E-3</v>
      </c>
      <c r="D140">
        <v>-2.1047810899999999</v>
      </c>
      <c r="E140">
        <v>-5.2139933100000002</v>
      </c>
      <c r="F140">
        <v>233558091.99295101</v>
      </c>
      <c r="G140">
        <v>31771253.054983899</v>
      </c>
      <c r="H140">
        <v>36780606665.123901</v>
      </c>
    </row>
    <row r="141" spans="1:8" x14ac:dyDescent="0.35">
      <c r="A141" t="s">
        <v>277</v>
      </c>
      <c r="B141" t="s">
        <v>278</v>
      </c>
      <c r="C141">
        <v>3.2709111958425598</v>
      </c>
      <c r="D141">
        <v>-0.50274777000000004</v>
      </c>
      <c r="E141">
        <v>-5.9375116999999999</v>
      </c>
      <c r="F141">
        <v>230726252.05954599</v>
      </c>
      <c r="G141">
        <v>19163017.840465501</v>
      </c>
      <c r="H141">
        <v>70538831</v>
      </c>
    </row>
    <row r="142" spans="1:8" x14ac:dyDescent="0.35">
      <c r="A142" t="s">
        <v>279</v>
      </c>
      <c r="B142" t="s">
        <v>280</v>
      </c>
      <c r="C142">
        <v>2.0571420788262299E-2</v>
      </c>
      <c r="D142">
        <v>-3.1699956999999999</v>
      </c>
      <c r="E142">
        <v>0.93145518000000005</v>
      </c>
      <c r="F142">
        <v>222800488.42148301</v>
      </c>
      <c r="G142">
        <v>116544719.73873401</v>
      </c>
      <c r="H142">
        <v>10830583396</v>
      </c>
    </row>
    <row r="143" spans="1:8" x14ac:dyDescent="0.35">
      <c r="A143" t="s">
        <v>281</v>
      </c>
      <c r="B143" t="s">
        <v>282</v>
      </c>
      <c r="C143">
        <v>0.14802558037305</v>
      </c>
      <c r="D143">
        <v>-0.89586737000000005</v>
      </c>
      <c r="E143">
        <v>-9.6939278299999998</v>
      </c>
      <c r="F143">
        <v>221403852.537191</v>
      </c>
      <c r="G143">
        <v>22021296.0124541</v>
      </c>
      <c r="H143">
        <v>1495713456.9526</v>
      </c>
    </row>
    <row r="144" spans="1:8" x14ac:dyDescent="0.35">
      <c r="A144" t="s">
        <v>283</v>
      </c>
      <c r="B144" t="s">
        <v>284</v>
      </c>
      <c r="C144">
        <v>21.968716644783299</v>
      </c>
      <c r="D144">
        <v>-1.0486155800000001</v>
      </c>
      <c r="E144">
        <v>-7.7227884099999997</v>
      </c>
      <c r="F144">
        <v>218913591.02718699</v>
      </c>
      <c r="G144">
        <v>33006808.804508898</v>
      </c>
      <c r="H144">
        <v>9964787.4096081909</v>
      </c>
    </row>
    <row r="145" spans="1:8" x14ac:dyDescent="0.35">
      <c r="A145" t="s">
        <v>285</v>
      </c>
      <c r="B145" t="s">
        <v>286</v>
      </c>
      <c r="C145">
        <v>0.217735440675143</v>
      </c>
      <c r="D145">
        <v>-0.3634193</v>
      </c>
      <c r="E145">
        <v>-4.5102545999999997</v>
      </c>
      <c r="F145">
        <v>217735440.675143</v>
      </c>
      <c r="G145">
        <v>9545613.1627575494</v>
      </c>
      <c r="H145">
        <v>1000000000</v>
      </c>
    </row>
    <row r="146" spans="1:8" x14ac:dyDescent="0.35">
      <c r="A146" t="s">
        <v>287</v>
      </c>
      <c r="B146" t="s">
        <v>288</v>
      </c>
      <c r="C146">
        <v>0.119671839703926</v>
      </c>
      <c r="D146">
        <v>-1.3369418500000001</v>
      </c>
      <c r="E146">
        <v>-14.543356080000001</v>
      </c>
      <c r="F146">
        <v>215409311.467067</v>
      </c>
      <c r="G146">
        <v>132732198.582904</v>
      </c>
      <c r="H146">
        <v>1800000000</v>
      </c>
    </row>
    <row r="147" spans="1:8" x14ac:dyDescent="0.35">
      <c r="A147" t="s">
        <v>289</v>
      </c>
      <c r="B147" t="s">
        <v>290</v>
      </c>
      <c r="C147">
        <v>2.4060397771942899E-2</v>
      </c>
      <c r="D147">
        <v>-1.13088872</v>
      </c>
      <c r="E147">
        <v>-9.9029429100000002</v>
      </c>
      <c r="F147">
        <v>211730524.64685601</v>
      </c>
      <c r="G147">
        <v>25352097.384700999</v>
      </c>
      <c r="H147">
        <v>8799959445.9638405</v>
      </c>
    </row>
    <row r="148" spans="1:8" x14ac:dyDescent="0.35">
      <c r="A148" t="s">
        <v>291</v>
      </c>
      <c r="B148" t="s">
        <v>292</v>
      </c>
      <c r="C148">
        <v>2.62128427332738</v>
      </c>
      <c r="D148">
        <v>0.33006585999999999</v>
      </c>
      <c r="E148">
        <v>-9.3379246699999996</v>
      </c>
      <c r="F148">
        <v>203234837.78733999</v>
      </c>
      <c r="G148">
        <v>7908612.6169536998</v>
      </c>
      <c r="H148">
        <v>77532543.820346296</v>
      </c>
    </row>
    <row r="149" spans="1:8" x14ac:dyDescent="0.35">
      <c r="A149" t="s">
        <v>293</v>
      </c>
      <c r="B149" t="s">
        <v>294</v>
      </c>
      <c r="C149">
        <v>8.6515026925269495E-2</v>
      </c>
      <c r="D149">
        <v>-0.52183913999999998</v>
      </c>
      <c r="E149">
        <v>-1.1699141500000001</v>
      </c>
      <c r="F149">
        <v>202445163.00512999</v>
      </c>
      <c r="G149">
        <v>112578621.94563501</v>
      </c>
      <c r="H149">
        <v>2340000000</v>
      </c>
    </row>
    <row r="150" spans="1:8" x14ac:dyDescent="0.35">
      <c r="A150" t="s">
        <v>295</v>
      </c>
      <c r="B150" t="s">
        <v>296</v>
      </c>
      <c r="C150">
        <v>2.0040778614438999</v>
      </c>
      <c r="D150">
        <v>-1.6843187799999999</v>
      </c>
      <c r="E150">
        <v>-8.9506535700000001</v>
      </c>
      <c r="F150">
        <v>199414235.288789</v>
      </c>
      <c r="G150">
        <v>13864526.4771725</v>
      </c>
      <c r="H150">
        <v>99504235.401869699</v>
      </c>
    </row>
    <row r="151" spans="1:8" x14ac:dyDescent="0.35">
      <c r="A151" t="s">
        <v>297</v>
      </c>
      <c r="B151" t="s">
        <v>298</v>
      </c>
      <c r="C151" s="1">
        <v>3.6015223359522602E-5</v>
      </c>
      <c r="D151">
        <v>-0.69420190000000004</v>
      </c>
      <c r="E151">
        <v>-3.6498812799999998</v>
      </c>
      <c r="F151">
        <v>196942911.89319801</v>
      </c>
      <c r="G151">
        <v>13287590.1070469</v>
      </c>
      <c r="H151">
        <v>5468324045285.2803</v>
      </c>
    </row>
    <row r="152" spans="1:8" x14ac:dyDescent="0.35">
      <c r="A152" t="s">
        <v>299</v>
      </c>
      <c r="B152" t="s">
        <v>300</v>
      </c>
      <c r="C152" s="1">
        <v>9.6026482481443902E-6</v>
      </c>
      <c r="D152">
        <v>-0.66876952000000001</v>
      </c>
      <c r="E152">
        <v>-5.4271009699999997</v>
      </c>
      <c r="F152">
        <v>191876021.02150601</v>
      </c>
      <c r="G152">
        <v>6314991.2209310997</v>
      </c>
      <c r="H152">
        <v>19981573422580</v>
      </c>
    </row>
    <row r="153" spans="1:8" x14ac:dyDescent="0.35">
      <c r="A153" t="s">
        <v>301</v>
      </c>
      <c r="B153" t="s">
        <v>302</v>
      </c>
      <c r="C153">
        <v>0.19019961326095899</v>
      </c>
      <c r="D153">
        <v>8.7746690000000002E-2</v>
      </c>
      <c r="E153">
        <v>-7.8323326499999997</v>
      </c>
      <c r="F153">
        <v>190199613.260959</v>
      </c>
      <c r="G153">
        <v>6332385.0652432097</v>
      </c>
      <c r="H153">
        <v>1000000000</v>
      </c>
    </row>
    <row r="154" spans="1:8" x14ac:dyDescent="0.35">
      <c r="A154" t="s">
        <v>303</v>
      </c>
      <c r="B154" t="s">
        <v>304</v>
      </c>
      <c r="C154">
        <v>2.88637697135611</v>
      </c>
      <c r="D154">
        <v>-1.2159502799999999</v>
      </c>
      <c r="E154">
        <v>-9.6827901399999998</v>
      </c>
      <c r="F154">
        <v>189497765.97514001</v>
      </c>
      <c r="G154">
        <v>35705294.564597197</v>
      </c>
      <c r="H154">
        <v>65652466</v>
      </c>
    </row>
    <row r="155" spans="1:8" x14ac:dyDescent="0.35">
      <c r="A155" t="s">
        <v>305</v>
      </c>
      <c r="B155" t="s">
        <v>306</v>
      </c>
      <c r="C155">
        <v>1.0077048047513699</v>
      </c>
      <c r="D155">
        <v>-0.22330425000000001</v>
      </c>
      <c r="E155">
        <v>-11.01070395</v>
      </c>
      <c r="F155">
        <v>187757008.59901401</v>
      </c>
      <c r="G155">
        <v>8689169.0596909299</v>
      </c>
      <c r="H155">
        <v>186321438.295948</v>
      </c>
    </row>
    <row r="156" spans="1:8" x14ac:dyDescent="0.35">
      <c r="A156" t="s">
        <v>307</v>
      </c>
      <c r="B156" t="s">
        <v>307</v>
      </c>
      <c r="C156">
        <v>0.83090162498184195</v>
      </c>
      <c r="D156">
        <v>0.51442147999999999</v>
      </c>
      <c r="E156">
        <v>6.7532004900000002</v>
      </c>
      <c r="F156">
        <v>177184784.45582399</v>
      </c>
      <c r="G156">
        <v>89206628.2828352</v>
      </c>
      <c r="H156">
        <v>213243998</v>
      </c>
    </row>
    <row r="157" spans="1:8" x14ac:dyDescent="0.35">
      <c r="A157" t="s">
        <v>308</v>
      </c>
      <c r="B157" t="s">
        <v>309</v>
      </c>
      <c r="C157">
        <v>0.51020557244019404</v>
      </c>
      <c r="D157">
        <v>-0.90218339000000003</v>
      </c>
      <c r="E157">
        <v>-6.9835034900000004</v>
      </c>
      <c r="F157">
        <v>179070096.19739199</v>
      </c>
      <c r="G157">
        <v>79622921.665407702</v>
      </c>
      <c r="H157">
        <v>350976363</v>
      </c>
    </row>
    <row r="158" spans="1:8" x14ac:dyDescent="0.35">
      <c r="A158" t="s">
        <v>310</v>
      </c>
      <c r="B158" t="s">
        <v>311</v>
      </c>
      <c r="C158">
        <v>5.0682561348119902E-2</v>
      </c>
      <c r="D158">
        <v>-1.29953846</v>
      </c>
      <c r="E158">
        <v>-8.8232009900000001</v>
      </c>
      <c r="F158">
        <v>176802445.698066</v>
      </c>
      <c r="G158">
        <v>61428550.914834201</v>
      </c>
      <c r="H158">
        <v>3488427597.0915298</v>
      </c>
    </row>
    <row r="159" spans="1:8" x14ac:dyDescent="0.35">
      <c r="A159" t="s">
        <v>312</v>
      </c>
      <c r="B159" t="s">
        <v>313</v>
      </c>
      <c r="C159">
        <v>1.9205113030661001</v>
      </c>
      <c r="D159">
        <v>-1.079807E-2</v>
      </c>
      <c r="E159">
        <v>-1.1267392599999999</v>
      </c>
      <c r="F159">
        <v>176374637.99045601</v>
      </c>
      <c r="G159">
        <v>12114162.651453599</v>
      </c>
      <c r="H159">
        <v>91837334</v>
      </c>
    </row>
    <row r="160" spans="1:8" x14ac:dyDescent="0.35">
      <c r="A160" t="s">
        <v>314</v>
      </c>
      <c r="B160" t="s">
        <v>315</v>
      </c>
      <c r="C160">
        <v>0.34455550520297701</v>
      </c>
      <c r="D160">
        <v>-0.69250807000000003</v>
      </c>
      <c r="E160">
        <v>-6.03617968</v>
      </c>
      <c r="F160">
        <v>172277166.71999601</v>
      </c>
      <c r="G160">
        <v>16532380.6726282</v>
      </c>
      <c r="H160">
        <v>499998299.602</v>
      </c>
    </row>
    <row r="161" spans="1:8" x14ac:dyDescent="0.35">
      <c r="A161" t="s">
        <v>316</v>
      </c>
      <c r="B161" t="s">
        <v>317</v>
      </c>
      <c r="C161">
        <v>5.9416456390798802E-2</v>
      </c>
      <c r="D161">
        <v>-9.2305620000000005E-2</v>
      </c>
      <c r="E161">
        <v>-10.1945902</v>
      </c>
      <c r="F161">
        <v>171119394.40549999</v>
      </c>
      <c r="G161">
        <v>33920845.602141403</v>
      </c>
      <c r="H161">
        <v>2880000000</v>
      </c>
    </row>
    <row r="162" spans="1:8" x14ac:dyDescent="0.35">
      <c r="A162" t="s">
        <v>318</v>
      </c>
      <c r="B162" t="s">
        <v>319</v>
      </c>
      <c r="C162">
        <v>0.288981028819571</v>
      </c>
      <c r="D162">
        <v>-0.74286938999999996</v>
      </c>
      <c r="E162">
        <v>-9.9761513900000001</v>
      </c>
      <c r="F162">
        <v>170358031.57015699</v>
      </c>
      <c r="G162">
        <v>41213023.3558143</v>
      </c>
      <c r="H162">
        <v>589512855.79553401</v>
      </c>
    </row>
    <row r="163" spans="1:8" x14ac:dyDescent="0.35">
      <c r="A163" t="s">
        <v>320</v>
      </c>
      <c r="B163" t="s">
        <v>321</v>
      </c>
      <c r="C163">
        <v>0.75595347395532697</v>
      </c>
      <c r="D163">
        <v>-0.83740513000000005</v>
      </c>
      <c r="E163">
        <v>-1.12024331</v>
      </c>
      <c r="F163">
        <v>170089531.63994801</v>
      </c>
      <c r="G163">
        <v>16930109.438480601</v>
      </c>
      <c r="H163">
        <v>225000000</v>
      </c>
    </row>
    <row r="164" spans="1:8" x14ac:dyDescent="0.35">
      <c r="A164" t="s">
        <v>322</v>
      </c>
      <c r="B164" t="s">
        <v>323</v>
      </c>
      <c r="C164">
        <v>0.334802658507932</v>
      </c>
      <c r="D164">
        <v>-8.5144590000000006E-2</v>
      </c>
      <c r="E164">
        <v>-6.1566565999999998</v>
      </c>
      <c r="F164">
        <v>167401329.253966</v>
      </c>
      <c r="G164">
        <v>3373064.7686017998</v>
      </c>
      <c r="H164">
        <v>500000000</v>
      </c>
    </row>
    <row r="165" spans="1:8" x14ac:dyDescent="0.35">
      <c r="A165" t="s">
        <v>324</v>
      </c>
      <c r="B165" t="s">
        <v>325</v>
      </c>
      <c r="C165">
        <v>2.19479201469019E-2</v>
      </c>
      <c r="D165">
        <v>0.11142051</v>
      </c>
      <c r="E165">
        <v>12.816851639999999</v>
      </c>
      <c r="F165">
        <v>164832084.19477299</v>
      </c>
      <c r="G165">
        <v>69776186.108803704</v>
      </c>
      <c r="H165">
        <v>7510145977</v>
      </c>
    </row>
    <row r="166" spans="1:8" x14ac:dyDescent="0.35">
      <c r="A166" t="s">
        <v>326</v>
      </c>
      <c r="B166" t="s">
        <v>327</v>
      </c>
      <c r="C166">
        <v>0.10342951258584999</v>
      </c>
      <c r="D166">
        <v>-1.1845450200000001</v>
      </c>
      <c r="E166">
        <v>-11.37656484</v>
      </c>
      <c r="F166">
        <v>163116960.439459</v>
      </c>
      <c r="G166">
        <v>18299502.4140958</v>
      </c>
      <c r="H166">
        <v>1577083333</v>
      </c>
    </row>
    <row r="167" spans="1:8" x14ac:dyDescent="0.35">
      <c r="A167" t="s">
        <v>328</v>
      </c>
      <c r="B167" t="s">
        <v>328</v>
      </c>
      <c r="C167">
        <v>0.16133978175261701</v>
      </c>
      <c r="D167">
        <v>-0.15692813</v>
      </c>
      <c r="E167">
        <v>12.04718461</v>
      </c>
      <c r="F167">
        <v>161339781.752617</v>
      </c>
      <c r="G167">
        <v>48473215.929315902</v>
      </c>
      <c r="H167">
        <v>1000000000</v>
      </c>
    </row>
    <row r="168" spans="1:8" x14ac:dyDescent="0.35">
      <c r="A168" t="s">
        <v>329</v>
      </c>
      <c r="B168" t="s">
        <v>330</v>
      </c>
      <c r="C168" s="1">
        <v>8.6028028462647795E-7</v>
      </c>
      <c r="D168">
        <v>-0.56322059000000002</v>
      </c>
      <c r="E168">
        <v>-7.4389400700000001</v>
      </c>
      <c r="F168">
        <v>161298281.88262999</v>
      </c>
      <c r="G168">
        <v>3411678.9293268002</v>
      </c>
      <c r="H168">
        <v>187495034775398</v>
      </c>
    </row>
    <row r="169" spans="1:8" x14ac:dyDescent="0.35">
      <c r="A169" t="s">
        <v>331</v>
      </c>
      <c r="B169" t="s">
        <v>332</v>
      </c>
      <c r="C169">
        <v>9.9414841420644606E-2</v>
      </c>
      <c r="D169">
        <v>-0.78759895999999996</v>
      </c>
      <c r="E169">
        <v>-7.4470663500000001</v>
      </c>
      <c r="F169">
        <v>161002624.60317799</v>
      </c>
      <c r="G169">
        <v>44465190.635081097</v>
      </c>
      <c r="H169">
        <v>1619502906.2305</v>
      </c>
    </row>
    <row r="170" spans="1:8" x14ac:dyDescent="0.35">
      <c r="A170" t="s">
        <v>333</v>
      </c>
      <c r="B170" t="s">
        <v>333</v>
      </c>
      <c r="C170">
        <v>0.34606524911730102</v>
      </c>
      <c r="D170">
        <v>-1.4782490100000001</v>
      </c>
      <c r="E170">
        <v>-5.39318689</v>
      </c>
      <c r="F170">
        <v>159755548.82665601</v>
      </c>
      <c r="G170">
        <v>1344037.1758087</v>
      </c>
      <c r="H170">
        <v>461634183.82556403</v>
      </c>
    </row>
    <row r="171" spans="1:8" x14ac:dyDescent="0.35">
      <c r="A171" t="s">
        <v>334</v>
      </c>
      <c r="B171" t="s">
        <v>335</v>
      </c>
      <c r="C171">
        <v>0.112388513347429</v>
      </c>
      <c r="D171">
        <v>-0.83358051</v>
      </c>
      <c r="E171">
        <v>-3.5937868399999999</v>
      </c>
      <c r="F171">
        <v>158198565.59293801</v>
      </c>
      <c r="G171">
        <v>27294755.098870799</v>
      </c>
      <c r="H171">
        <v>1407604397.2918701</v>
      </c>
    </row>
    <row r="172" spans="1:8" x14ac:dyDescent="0.35">
      <c r="A172" t="s">
        <v>336</v>
      </c>
      <c r="B172" t="s">
        <v>337</v>
      </c>
      <c r="C172">
        <v>3.2464374196679302E-2</v>
      </c>
      <c r="D172">
        <v>-1.0601108800000001</v>
      </c>
      <c r="E172">
        <v>-12.980571360000001</v>
      </c>
      <c r="F172">
        <v>150750105.03973001</v>
      </c>
      <c r="G172">
        <v>25037045.5277576</v>
      </c>
      <c r="H172">
        <v>4643554935.8333397</v>
      </c>
    </row>
    <row r="173" spans="1:8" x14ac:dyDescent="0.35">
      <c r="A173" t="s">
        <v>338</v>
      </c>
      <c r="B173" t="s">
        <v>339</v>
      </c>
      <c r="C173">
        <v>5.1367014030389804</v>
      </c>
      <c r="D173">
        <v>-0.81054769999999998</v>
      </c>
      <c r="E173">
        <v>-8.0442228100000008</v>
      </c>
      <c r="F173">
        <v>150083137.46985099</v>
      </c>
      <c r="G173">
        <v>11233112.448980199</v>
      </c>
      <c r="H173">
        <v>29217804.519659001</v>
      </c>
    </row>
    <row r="174" spans="1:8" x14ac:dyDescent="0.35">
      <c r="A174" t="s">
        <v>340</v>
      </c>
      <c r="B174" t="s">
        <v>341</v>
      </c>
      <c r="C174">
        <v>1.7701402015415299E-3</v>
      </c>
      <c r="D174">
        <v>-7.4219320000000005E-2</v>
      </c>
      <c r="E174">
        <v>-6.3497596700000001</v>
      </c>
      <c r="F174">
        <v>149191216.78032401</v>
      </c>
      <c r="G174">
        <v>12582774.900544601</v>
      </c>
      <c r="H174">
        <v>84282147058.408295</v>
      </c>
    </row>
    <row r="175" spans="1:8" x14ac:dyDescent="0.35">
      <c r="A175" t="s">
        <v>342</v>
      </c>
      <c r="B175" t="s">
        <v>343</v>
      </c>
      <c r="C175">
        <v>0.34445317581597601</v>
      </c>
      <c r="D175">
        <v>-2.2321497899999998</v>
      </c>
      <c r="E175">
        <v>-12.845221090000001</v>
      </c>
      <c r="F175">
        <v>148434158.091122</v>
      </c>
      <c r="G175">
        <v>68451215.192218006</v>
      </c>
      <c r="H175">
        <v>430926954.69999999</v>
      </c>
    </row>
    <row r="176" spans="1:8" x14ac:dyDescent="0.35">
      <c r="A176" t="s">
        <v>344</v>
      </c>
      <c r="B176" t="s">
        <v>345</v>
      </c>
      <c r="C176">
        <v>2.96898256101806</v>
      </c>
      <c r="D176">
        <v>-0.75451853000000002</v>
      </c>
      <c r="E176">
        <v>-5.0345332899999997</v>
      </c>
      <c r="F176">
        <v>146311946.58777499</v>
      </c>
      <c r="G176">
        <v>21563980.3199558</v>
      </c>
      <c r="H176">
        <v>49280163.685974903</v>
      </c>
    </row>
    <row r="177" spans="1:8" x14ac:dyDescent="0.35">
      <c r="A177" t="s">
        <v>346</v>
      </c>
      <c r="B177" t="s">
        <v>347</v>
      </c>
      <c r="C177">
        <v>3.7459847067678999E-2</v>
      </c>
      <c r="D177">
        <v>-0.30465515999999998</v>
      </c>
      <c r="E177">
        <v>-5.9772505899999997</v>
      </c>
      <c r="F177">
        <v>142886231.80133</v>
      </c>
      <c r="G177">
        <v>11496028.8169301</v>
      </c>
      <c r="H177">
        <v>3814383746.5</v>
      </c>
    </row>
    <row r="178" spans="1:8" x14ac:dyDescent="0.35">
      <c r="A178" t="s">
        <v>348</v>
      </c>
      <c r="B178" t="s">
        <v>349</v>
      </c>
      <c r="C178">
        <v>3.7851585409123603E-2</v>
      </c>
      <c r="D178">
        <v>-3.0047032300000001</v>
      </c>
      <c r="E178">
        <v>-4.1472504800000003</v>
      </c>
      <c r="F178">
        <v>142525046.22459799</v>
      </c>
      <c r="G178">
        <v>722920264.995525</v>
      </c>
      <c r="H178">
        <v>3765365299.3421102</v>
      </c>
    </row>
    <row r="179" spans="1:8" x14ac:dyDescent="0.35">
      <c r="A179" t="s">
        <v>350</v>
      </c>
      <c r="B179" t="s">
        <v>351</v>
      </c>
      <c r="C179">
        <v>7.9106879121952396</v>
      </c>
      <c r="D179">
        <v>-0.10950239</v>
      </c>
      <c r="E179">
        <v>-7.8977870399999999</v>
      </c>
      <c r="F179">
        <v>140780263.46666899</v>
      </c>
      <c r="G179">
        <v>47302730.7790756</v>
      </c>
      <c r="H179">
        <v>17796210.0172907</v>
      </c>
    </row>
    <row r="180" spans="1:8" x14ac:dyDescent="0.35">
      <c r="A180" t="s">
        <v>352</v>
      </c>
      <c r="B180" t="s">
        <v>353</v>
      </c>
      <c r="C180">
        <v>2.8203325145210699E-3</v>
      </c>
      <c r="D180">
        <v>-0.43105486999999998</v>
      </c>
      <c r="E180">
        <v>-5.43900264</v>
      </c>
      <c r="F180">
        <v>139510579.91844499</v>
      </c>
      <c r="G180">
        <v>11936290.369520999</v>
      </c>
      <c r="H180">
        <v>49466004168</v>
      </c>
    </row>
    <row r="181" spans="1:8" x14ac:dyDescent="0.35">
      <c r="A181" t="s">
        <v>354</v>
      </c>
      <c r="B181" t="s">
        <v>355</v>
      </c>
      <c r="C181">
        <v>2.5836294442327601E-2</v>
      </c>
      <c r="D181">
        <v>-0.64604174999999997</v>
      </c>
      <c r="E181">
        <v>-9.2498728900000007</v>
      </c>
      <c r="F181">
        <v>137476103.88549799</v>
      </c>
      <c r="G181">
        <v>29583942.918729</v>
      </c>
      <c r="H181">
        <v>5321045717</v>
      </c>
    </row>
    <row r="182" spans="1:8" x14ac:dyDescent="0.35">
      <c r="A182" t="s">
        <v>356</v>
      </c>
      <c r="B182" t="s">
        <v>357</v>
      </c>
      <c r="C182">
        <v>8.0123631975859994E-3</v>
      </c>
      <c r="D182">
        <v>-1.14768779</v>
      </c>
      <c r="E182">
        <v>-9.9624507799999993</v>
      </c>
      <c r="F182">
        <v>133058210.78349701</v>
      </c>
      <c r="G182">
        <v>21857480.214093499</v>
      </c>
      <c r="H182">
        <v>16606612494</v>
      </c>
    </row>
    <row r="183" spans="1:8" x14ac:dyDescent="0.35">
      <c r="A183" t="s">
        <v>358</v>
      </c>
      <c r="B183" t="s">
        <v>359</v>
      </c>
      <c r="C183">
        <v>0.37610876275072902</v>
      </c>
      <c r="D183">
        <v>-3.1010590000000001E-2</v>
      </c>
      <c r="E183">
        <v>-8.4690571800000001</v>
      </c>
      <c r="F183">
        <v>129180653.921941</v>
      </c>
      <c r="G183">
        <v>25041779.064384501</v>
      </c>
      <c r="H183">
        <v>343466216.99839801</v>
      </c>
    </row>
    <row r="184" spans="1:8" x14ac:dyDescent="0.35">
      <c r="A184" t="s">
        <v>360</v>
      </c>
      <c r="B184" t="s">
        <v>361</v>
      </c>
      <c r="C184">
        <v>2.0629761554670201E-3</v>
      </c>
      <c r="D184">
        <v>-0.29875132999999998</v>
      </c>
      <c r="E184">
        <v>-7.9988592599999997</v>
      </c>
      <c r="F184">
        <v>129045706.59851</v>
      </c>
      <c r="G184">
        <v>12283618.1776648</v>
      </c>
      <c r="H184">
        <v>62553174091</v>
      </c>
    </row>
    <row r="185" spans="1:8" x14ac:dyDescent="0.35">
      <c r="A185" t="s">
        <v>362</v>
      </c>
      <c r="B185" t="s">
        <v>363</v>
      </c>
      <c r="C185">
        <v>0.38829289506751602</v>
      </c>
      <c r="D185">
        <v>0.17680371</v>
      </c>
      <c r="E185">
        <v>-2.00927056</v>
      </c>
      <c r="F185">
        <v>127707632.033161</v>
      </c>
      <c r="G185">
        <v>4057216.8518260899</v>
      </c>
      <c r="H185">
        <v>328895103.81320697</v>
      </c>
    </row>
    <row r="186" spans="1:8" x14ac:dyDescent="0.35">
      <c r="A186" t="s">
        <v>364</v>
      </c>
      <c r="B186" t="s">
        <v>365</v>
      </c>
      <c r="C186">
        <v>0.129466734810501</v>
      </c>
      <c r="D186">
        <v>-4.0707123200000002</v>
      </c>
      <c r="E186">
        <v>-19.33509355</v>
      </c>
      <c r="F186">
        <v>126553266.69921599</v>
      </c>
      <c r="G186">
        <v>32868198.408701401</v>
      </c>
      <c r="H186">
        <v>977496396.154971</v>
      </c>
    </row>
    <row r="187" spans="1:8" x14ac:dyDescent="0.35">
      <c r="A187" t="s">
        <v>366</v>
      </c>
      <c r="B187" t="s">
        <v>367</v>
      </c>
      <c r="C187">
        <v>0.25210851077499202</v>
      </c>
      <c r="D187">
        <v>-1.4455425500000001</v>
      </c>
      <c r="E187">
        <v>-4.7866527699999999</v>
      </c>
      <c r="F187">
        <v>125903614.799785</v>
      </c>
      <c r="G187">
        <v>31924006.815678298</v>
      </c>
      <c r="H187">
        <v>499402477.18235302</v>
      </c>
    </row>
    <row r="188" spans="1:8" x14ac:dyDescent="0.35">
      <c r="A188" t="s">
        <v>368</v>
      </c>
      <c r="B188" t="s">
        <v>369</v>
      </c>
      <c r="C188">
        <v>0.15169948145184201</v>
      </c>
      <c r="D188">
        <v>0.29716859000000001</v>
      </c>
      <c r="E188">
        <v>-10.00353035</v>
      </c>
      <c r="F188">
        <v>124505996.023085</v>
      </c>
      <c r="G188">
        <v>12318614.012996901</v>
      </c>
      <c r="H188">
        <v>820741078.55543697</v>
      </c>
    </row>
    <row r="189" spans="1:8" x14ac:dyDescent="0.35">
      <c r="A189" t="s">
        <v>370</v>
      </c>
      <c r="B189" t="s">
        <v>371</v>
      </c>
      <c r="C189">
        <v>0.161733518198202</v>
      </c>
      <c r="D189">
        <v>-0.75151104999999996</v>
      </c>
      <c r="E189">
        <v>-8.8221134800000005</v>
      </c>
      <c r="F189">
        <v>121728977.498156</v>
      </c>
      <c r="G189">
        <v>29552497.5311331</v>
      </c>
      <c r="H189">
        <v>752651515</v>
      </c>
    </row>
    <row r="190" spans="1:8" x14ac:dyDescent="0.35">
      <c r="A190" t="s">
        <v>372</v>
      </c>
      <c r="B190" t="s">
        <v>373</v>
      </c>
      <c r="C190">
        <v>0.14533288351561099</v>
      </c>
      <c r="D190">
        <v>-1.3386981200000001</v>
      </c>
      <c r="E190">
        <v>3.0661902400000001</v>
      </c>
      <c r="F190">
        <v>120826125.887458</v>
      </c>
      <c r="G190">
        <v>16195087.2788777</v>
      </c>
      <c r="H190">
        <v>831374999</v>
      </c>
    </row>
    <row r="191" spans="1:8" x14ac:dyDescent="0.35">
      <c r="A191" t="s">
        <v>374</v>
      </c>
      <c r="B191" t="s">
        <v>375</v>
      </c>
      <c r="C191">
        <v>1.1282258177564499</v>
      </c>
      <c r="D191">
        <v>-0.24197077</v>
      </c>
      <c r="E191">
        <v>-8.8845084399999994</v>
      </c>
      <c r="F191">
        <v>119539801.649202</v>
      </c>
      <c r="G191">
        <v>27223446.874673601</v>
      </c>
      <c r="H191">
        <v>105953790.25</v>
      </c>
    </row>
    <row r="192" spans="1:8" x14ac:dyDescent="0.35">
      <c r="A192" t="s">
        <v>376</v>
      </c>
      <c r="B192" t="s">
        <v>377</v>
      </c>
      <c r="C192">
        <v>0.40617599483368799</v>
      </c>
      <c r="D192">
        <v>-0.90610009000000002</v>
      </c>
      <c r="E192">
        <v>-9.2376092700000001</v>
      </c>
      <c r="F192">
        <v>116595421.00819001</v>
      </c>
      <c r="G192">
        <v>6042872.0757912695</v>
      </c>
      <c r="H192">
        <v>287056405.32974201</v>
      </c>
    </row>
    <row r="193" spans="1:8" x14ac:dyDescent="0.35">
      <c r="A193" t="s">
        <v>378</v>
      </c>
      <c r="B193" t="s">
        <v>378</v>
      </c>
      <c r="C193">
        <v>2.6077700326699201E-2</v>
      </c>
      <c r="D193">
        <v>-1.60629139</v>
      </c>
      <c r="E193">
        <v>-10.519254399999999</v>
      </c>
      <c r="F193">
        <v>116567320.434267</v>
      </c>
      <c r="G193">
        <v>24390115.661836501</v>
      </c>
      <c r="H193">
        <v>4469999999</v>
      </c>
    </row>
    <row r="194" spans="1:8" x14ac:dyDescent="0.35">
      <c r="A194" t="s">
        <v>379</v>
      </c>
      <c r="B194" t="s">
        <v>380</v>
      </c>
      <c r="C194">
        <v>1.61579692709025E-2</v>
      </c>
      <c r="D194">
        <v>-1.2495672900000001</v>
      </c>
      <c r="E194">
        <v>-9.3963680800000002</v>
      </c>
      <c r="F194">
        <v>116521989.172391</v>
      </c>
      <c r="G194">
        <v>4983859.3078842396</v>
      </c>
      <c r="H194">
        <v>7211425348</v>
      </c>
    </row>
    <row r="195" spans="1:8" x14ac:dyDescent="0.35">
      <c r="A195" t="s">
        <v>381</v>
      </c>
      <c r="B195" t="s">
        <v>382</v>
      </c>
      <c r="C195">
        <v>1.7702006625987701</v>
      </c>
      <c r="D195">
        <v>-0.14944695999999999</v>
      </c>
      <c r="E195">
        <v>-6.4777158000000004</v>
      </c>
      <c r="F195">
        <v>115049467.400039</v>
      </c>
      <c r="G195">
        <v>5479251.5821716404</v>
      </c>
      <c r="H195">
        <v>64992331</v>
      </c>
    </row>
    <row r="196" spans="1:8" x14ac:dyDescent="0.35">
      <c r="A196" t="s">
        <v>383</v>
      </c>
      <c r="B196" t="s">
        <v>384</v>
      </c>
      <c r="C196">
        <v>1.16020946435929E-2</v>
      </c>
      <c r="D196">
        <v>-0.94340526000000002</v>
      </c>
      <c r="E196">
        <v>-9.3502525100000007</v>
      </c>
      <c r="F196">
        <v>114979500.59516899</v>
      </c>
      <c r="G196">
        <v>18822511.300319199</v>
      </c>
      <c r="H196">
        <v>9910236395</v>
      </c>
    </row>
    <row r="197" spans="1:8" x14ac:dyDescent="0.35">
      <c r="A197" t="s">
        <v>385</v>
      </c>
      <c r="B197" t="s">
        <v>386</v>
      </c>
      <c r="C197">
        <v>0.17093832063049999</v>
      </c>
      <c r="D197">
        <v>-1.36751782</v>
      </c>
      <c r="E197">
        <v>-2.9518106300000002</v>
      </c>
      <c r="F197">
        <v>112981917.377167</v>
      </c>
      <c r="G197">
        <v>15481667.2692616</v>
      </c>
      <c r="H197">
        <v>660951371</v>
      </c>
    </row>
    <row r="198" spans="1:8" x14ac:dyDescent="0.35">
      <c r="A198" t="s">
        <v>387</v>
      </c>
      <c r="B198" t="s">
        <v>388</v>
      </c>
      <c r="C198">
        <v>0.293317567237596</v>
      </c>
      <c r="D198">
        <v>0.25048649000000001</v>
      </c>
      <c r="E198">
        <v>-3.7452453399999999</v>
      </c>
      <c r="F198">
        <v>112008374.286705</v>
      </c>
      <c r="G198">
        <v>9227088.8387724701</v>
      </c>
      <c r="H198">
        <v>381867255.14457399</v>
      </c>
    </row>
    <row r="199" spans="1:8" x14ac:dyDescent="0.35">
      <c r="A199" t="s">
        <v>389</v>
      </c>
      <c r="B199" t="s">
        <v>390</v>
      </c>
      <c r="C199">
        <v>3123.31660785649</v>
      </c>
      <c r="D199">
        <v>-0.48997120999999999</v>
      </c>
      <c r="E199">
        <v>-3.1034433300000002</v>
      </c>
      <c r="F199">
        <v>109603394.954037</v>
      </c>
      <c r="G199">
        <v>23381110.689405899</v>
      </c>
      <c r="H199">
        <v>35091.989930939999</v>
      </c>
    </row>
    <row r="200" spans="1:8" x14ac:dyDescent="0.35">
      <c r="A200" t="s">
        <v>391</v>
      </c>
      <c r="B200" t="s">
        <v>392</v>
      </c>
      <c r="C200">
        <v>6.0570076717135697</v>
      </c>
      <c r="D200">
        <v>-1.0925282700000001</v>
      </c>
      <c r="E200">
        <v>-8.4816053</v>
      </c>
      <c r="F200">
        <v>107171736.345971</v>
      </c>
      <c r="G200">
        <v>11399420.827109599</v>
      </c>
      <c r="H200">
        <v>17693841.935592499</v>
      </c>
    </row>
    <row r="201" spans="1:8" x14ac:dyDescent="0.35">
      <c r="A201" t="s">
        <v>393</v>
      </c>
      <c r="B201" t="s">
        <v>394</v>
      </c>
      <c r="C201">
        <v>0.209719389662852</v>
      </c>
      <c r="D201">
        <v>-0.76592079000000002</v>
      </c>
      <c r="E201">
        <v>-9.1435571800000002</v>
      </c>
      <c r="F201">
        <v>107063390.73542599</v>
      </c>
      <c r="G201">
        <v>10749146.1333871</v>
      </c>
      <c r="H201">
        <v>510507831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201"/>
  <sheetViews>
    <sheetView tabSelected="1" topLeftCell="J1" zoomScaleNormal="100" workbookViewId="0">
      <selection activeCell="S3" sqref="S3"/>
    </sheetView>
  </sheetViews>
  <sheetFormatPr defaultRowHeight="14.5" x14ac:dyDescent="0.35"/>
  <cols>
    <col min="1" max="1" width="29.6328125" bestFit="1" customWidth="1"/>
    <col min="2" max="2" width="11.81640625" bestFit="1" customWidth="1"/>
    <col min="3" max="3" width="12.36328125" bestFit="1" customWidth="1"/>
    <col min="4" max="4" width="14.7265625" bestFit="1" customWidth="1"/>
    <col min="5" max="5" width="15.81640625" bestFit="1" customWidth="1"/>
    <col min="6" max="6" width="12.54296875" bestFit="1" customWidth="1"/>
    <col min="7" max="7" width="18.08984375" bestFit="1" customWidth="1"/>
    <col min="8" max="8" width="17.6328125" bestFit="1" customWidth="1"/>
    <col min="9" max="9" width="25" customWidth="1"/>
    <col min="10" max="10" width="12.36328125" bestFit="1" customWidth="1"/>
    <col min="11" max="11" width="14.7265625" bestFit="1" customWidth="1"/>
    <col min="12" max="12" width="15.81640625" bestFit="1" customWidth="1"/>
    <col min="13" max="13" width="17.08984375" customWidth="1"/>
    <col min="14" max="14" width="18.08984375" bestFit="1" customWidth="1"/>
    <col min="15" max="15" width="17.6328125" bestFit="1" customWidth="1"/>
    <col min="16" max="16" width="12" customWidth="1"/>
    <col min="17" max="17" width="11.453125" customWidth="1"/>
    <col min="19" max="19" width="11.81640625" bestFit="1" customWidth="1"/>
  </cols>
  <sheetData>
    <row r="1" spans="1:19" x14ac:dyDescent="0.35">
      <c r="A1" s="3" t="s">
        <v>0</v>
      </c>
      <c r="B1" s="3" t="s">
        <v>1</v>
      </c>
      <c r="C1" s="3" t="s">
        <v>401</v>
      </c>
      <c r="D1" s="3" t="s">
        <v>3</v>
      </c>
      <c r="E1" s="3" t="s">
        <v>4</v>
      </c>
      <c r="F1" s="3" t="s">
        <v>403</v>
      </c>
      <c r="G1" s="3" t="s">
        <v>402</v>
      </c>
      <c r="H1" s="2" t="s">
        <v>404</v>
      </c>
      <c r="I1" s="3" t="s">
        <v>395</v>
      </c>
      <c r="J1" s="3" t="s">
        <v>396</v>
      </c>
      <c r="K1" s="3" t="s">
        <v>397</v>
      </c>
      <c r="L1" s="3" t="s">
        <v>405</v>
      </c>
      <c r="M1" s="3" t="s">
        <v>406</v>
      </c>
      <c r="N1" s="3" t="s">
        <v>407</v>
      </c>
      <c r="O1" s="3" t="s">
        <v>433</v>
      </c>
      <c r="P1" s="3" t="s">
        <v>435</v>
      </c>
      <c r="Q1" s="3" t="s">
        <v>437</v>
      </c>
      <c r="R1" s="3" t="s">
        <v>439</v>
      </c>
      <c r="S1" s="3" t="s">
        <v>440</v>
      </c>
    </row>
    <row r="2" spans="1:19" x14ac:dyDescent="0.35">
      <c r="A2" s="3" t="s">
        <v>8</v>
      </c>
      <c r="B2" s="3" t="s">
        <v>9</v>
      </c>
      <c r="C2" s="3">
        <v>82567.315574975291</v>
      </c>
      <c r="D2" s="3">
        <v>-0.1125322</v>
      </c>
      <c r="E2" s="3">
        <v>-6.4253689500000002</v>
      </c>
      <c r="F2" s="3">
        <v>1649877108686.1648</v>
      </c>
      <c r="G2" s="3">
        <v>79431371927.590775</v>
      </c>
      <c r="H2" s="2">
        <v>19982206</v>
      </c>
      <c r="I2" s="3">
        <f>CryptoTable[[#This Row],[volume_24h]]/CryptoTable[[#This Row],[circulating_supply]]</f>
        <v>3975.1052475182555</v>
      </c>
      <c r="J2" s="3">
        <f>RANK(CryptoTable[[#This Row],[market_cap]],CryptoTable[market_cap],0)</f>
        <v>1</v>
      </c>
      <c r="K2" s="3" t="str">
        <f t="shared" ref="K2:K33" si="0">IF(C2&lt;=0.5,"0-0.5",
IF(C2&lt;=1,"0.5-1",
IF(C2&lt;=2,"1-2",
IF(C2&lt;=10,"2-10",
IF(C2&lt;=100,"10-100",
IF(C2&lt;=10000,"100-10000","10000+"))))))</f>
        <v>10000+</v>
      </c>
      <c r="L2" s="3">
        <f t="shared" ref="L2:L33" si="1">C2/(1+D2/100)</f>
        <v>82660.335068555316</v>
      </c>
      <c r="M2" s="3">
        <f>C2-CryptoTable[[#This Row],[Previous_Price]]</f>
        <v>-93.019493580024573</v>
      </c>
      <c r="N2" s="3" t="str">
        <f t="shared" ref="N2:N33" si="2">IF(C2&gt;=10,"&gt;=10","&lt;10")</f>
        <v>&gt;=10</v>
      </c>
      <c r="O2" s="3" t="str">
        <f t="shared" ref="O2:O33" si="3">IF(C2&lt;=50,"0-50","&gt;50")</f>
        <v>&gt;50</v>
      </c>
      <c r="P2" s="3" t="str">
        <f t="shared" ref="P2:P33" si="4">IF(J2&lt;=5,A2,"Others")</f>
        <v>Bitcoin</v>
      </c>
      <c r="Q2" s="3" t="str">
        <f t="shared" ref="Q2:Q33" si="5">IF(OR(
LEFT(A2,1)="A",
LEFT(A2,1)="E",
LEFT(A2,1)="I",
LEFT(A2,1)="O",
LEFT(A2,1)="U",
LEFT(A2,1)="B",
LEFT(A2,1)="C",
LEFT(A2,1)="D"
),
"Yes","No")</f>
        <v>Yes</v>
      </c>
      <c r="R2" s="3" t="str">
        <f t="shared" ref="R2:R33" si="6">IF(B2&lt;=0.05,"0 - 0.05",
IF(B2&lt;=0.5,"0.05 - 0.5",
IF(B2&lt;=5,"0.5 - 5",
IF(B2&lt;=50,"5 - 50",
"&gt; 50"))))</f>
        <v>&gt; 50</v>
      </c>
      <c r="S2" s="3">
        <f t="shared" ref="S2:S33" si="7">AVERAGE(D2,F2,H2)</f>
        <v>549965696964.01746</v>
      </c>
    </row>
    <row r="3" spans="1:19" x14ac:dyDescent="0.35">
      <c r="A3" s="3" t="s">
        <v>10</v>
      </c>
      <c r="B3" s="3" t="s">
        <v>11</v>
      </c>
      <c r="C3" s="3">
        <v>2721.2855990224457</v>
      </c>
      <c r="D3" s="3">
        <v>-0.48012495999999999</v>
      </c>
      <c r="E3" s="3">
        <v>-7.8926658700000001</v>
      </c>
      <c r="F3" s="3">
        <v>328443547573.03168</v>
      </c>
      <c r="G3" s="3">
        <v>44450877161.72728</v>
      </c>
      <c r="H3" s="2">
        <v>120694258.51186545</v>
      </c>
      <c r="I3" s="3">
        <f>CryptoTable[[#This Row],[volume_24h]]/CryptoTable[[#This Row],[circulating_supply]]</f>
        <v>368.29322048784377</v>
      </c>
      <c r="J3" s="3">
        <f>RANK(CryptoTable[[#This Row],[market_cap]],CryptoTable[market_cap],0)</f>
        <v>2</v>
      </c>
      <c r="K3" s="3" t="str">
        <f t="shared" si="0"/>
        <v>100-10000</v>
      </c>
      <c r="L3" s="3">
        <f t="shared" si="1"/>
        <v>2734.4142041262412</v>
      </c>
      <c r="M3" s="3">
        <f>C3-CryptoTable[[#This Row],[Previous_Price]]</f>
        <v>-13.128605103795508</v>
      </c>
      <c r="N3" s="3" t="str">
        <f t="shared" si="2"/>
        <v>&gt;=10</v>
      </c>
      <c r="O3" s="3" t="str">
        <f t="shared" si="3"/>
        <v>&gt;50</v>
      </c>
      <c r="P3" s="3" t="str">
        <f t="shared" si="4"/>
        <v>Ethereum</v>
      </c>
      <c r="Q3" s="3" t="str">
        <f t="shared" si="5"/>
        <v>Yes</v>
      </c>
      <c r="R3" s="3" t="str">
        <f t="shared" si="6"/>
        <v>&gt; 50</v>
      </c>
      <c r="S3" s="3">
        <f t="shared" si="7"/>
        <v>109521413943.68781</v>
      </c>
    </row>
    <row r="4" spans="1:19" x14ac:dyDescent="0.35">
      <c r="A4" s="3" t="s">
        <v>12</v>
      </c>
      <c r="B4" s="3" t="s">
        <v>13</v>
      </c>
      <c r="C4" s="3">
        <v>0.99835009693143706</v>
      </c>
      <c r="D4" s="3">
        <v>9.1576599999999998E-3</v>
      </c>
      <c r="E4" s="3">
        <v>-3.57581E-3</v>
      </c>
      <c r="F4" s="3">
        <v>185541095501.96741</v>
      </c>
      <c r="G4" s="3">
        <v>146962642926.80096</v>
      </c>
      <c r="H4" s="2">
        <v>185847726235.76926</v>
      </c>
      <c r="I4" s="3">
        <f>CryptoTable[[#This Row],[volume_24h]]/CryptoTable[[#This Row],[circulating_supply]]</f>
        <v>0.79076911998569155</v>
      </c>
      <c r="J4" s="3">
        <f>RANK(CryptoTable[[#This Row],[market_cap]],CryptoTable[market_cap],0)</f>
        <v>3</v>
      </c>
      <c r="K4" s="3" t="str">
        <f t="shared" si="0"/>
        <v>0.5-1</v>
      </c>
      <c r="L4" s="3">
        <f t="shared" si="1"/>
        <v>0.99825867979562088</v>
      </c>
      <c r="M4" s="3">
        <f>C4-CryptoTable[[#This Row],[Previous_Price]]</f>
        <v>9.1417135816174167E-5</v>
      </c>
      <c r="N4" s="3" t="str">
        <f t="shared" si="2"/>
        <v>&lt;10</v>
      </c>
      <c r="O4" s="3" t="str">
        <f t="shared" si="3"/>
        <v>0-50</v>
      </c>
      <c r="P4" s="3" t="str">
        <f t="shared" si="4"/>
        <v>Tether USDt</v>
      </c>
      <c r="Q4" s="3" t="str">
        <f t="shared" si="5"/>
        <v>No</v>
      </c>
      <c r="R4" s="3" t="str">
        <f t="shared" si="6"/>
        <v>&gt; 50</v>
      </c>
      <c r="S4" s="3">
        <f t="shared" si="7"/>
        <v>123796273912.58195</v>
      </c>
    </row>
    <row r="5" spans="1:19" x14ac:dyDescent="0.35">
      <c r="A5" s="3" t="s">
        <v>14</v>
      </c>
      <c r="B5" s="3" t="s">
        <v>14</v>
      </c>
      <c r="C5" s="3">
        <v>840.16680829514985</v>
      </c>
      <c r="D5" s="3">
        <v>-0.63475939000000003</v>
      </c>
      <c r="E5" s="3">
        <v>-6.78413646</v>
      </c>
      <c r="F5" s="3">
        <v>114565293344.38481</v>
      </c>
      <c r="G5" s="3">
        <v>4383074905.1874456</v>
      </c>
      <c r="H5" s="2">
        <v>136360175.40000001</v>
      </c>
      <c r="I5" s="3">
        <f>CryptoTable[[#This Row],[volume_24h]]/CryptoTable[[#This Row],[circulating_supply]]</f>
        <v>32.143365116171928</v>
      </c>
      <c r="J5" s="3">
        <f>RANK(CryptoTable[[#This Row],[market_cap]],CryptoTable[market_cap],0)</f>
        <v>4</v>
      </c>
      <c r="K5" s="3" t="str">
        <f t="shared" si="0"/>
        <v>100-10000</v>
      </c>
      <c r="L5" s="3">
        <f t="shared" si="1"/>
        <v>845.53391421124024</v>
      </c>
      <c r="M5" s="3">
        <f>C5-CryptoTable[[#This Row],[Previous_Price]]</f>
        <v>-5.3671059160903951</v>
      </c>
      <c r="N5" s="3" t="str">
        <f t="shared" si="2"/>
        <v>&gt;=10</v>
      </c>
      <c r="O5" s="3" t="str">
        <f t="shared" si="3"/>
        <v>&gt;50</v>
      </c>
      <c r="P5" s="3" t="str">
        <f t="shared" si="4"/>
        <v>BNB</v>
      </c>
      <c r="Q5" s="3" t="str">
        <f t="shared" si="5"/>
        <v>Yes</v>
      </c>
      <c r="R5" s="3" t="str">
        <f t="shared" si="6"/>
        <v>&gt; 50</v>
      </c>
      <c r="S5" s="3">
        <f t="shared" si="7"/>
        <v>38233884506.383347</v>
      </c>
    </row>
    <row r="6" spans="1:19" x14ac:dyDescent="0.35">
      <c r="A6" s="3" t="s">
        <v>15</v>
      </c>
      <c r="B6" s="3" t="s">
        <v>15</v>
      </c>
      <c r="C6" s="3">
        <v>1.739230493484252</v>
      </c>
      <c r="D6" s="3">
        <v>-0.92487492999999998</v>
      </c>
      <c r="E6" s="3">
        <v>-7.6581250499999998</v>
      </c>
      <c r="F6" s="3">
        <v>105837799045.08362</v>
      </c>
      <c r="G6" s="3">
        <v>5464903595.5785408</v>
      </c>
      <c r="H6" s="2">
        <v>60853233336</v>
      </c>
      <c r="I6" s="3">
        <f>CryptoTable[[#This Row],[volume_24h]]/CryptoTable[[#This Row],[circulating_supply]]</f>
        <v>8.9804654510372145E-2</v>
      </c>
      <c r="J6" s="3">
        <f>RANK(CryptoTable[[#This Row],[market_cap]],CryptoTable[market_cap],0)</f>
        <v>5</v>
      </c>
      <c r="K6" s="3" t="str">
        <f t="shared" si="0"/>
        <v>1-2</v>
      </c>
      <c r="L6" s="3">
        <f t="shared" si="1"/>
        <v>1.7554663617688349</v>
      </c>
      <c r="M6" s="3">
        <f>C6-CryptoTable[[#This Row],[Previous_Price]]</f>
        <v>-1.6235868284582899E-2</v>
      </c>
      <c r="N6" s="3" t="str">
        <f t="shared" si="2"/>
        <v>&lt;10</v>
      </c>
      <c r="O6" s="3" t="str">
        <f t="shared" si="3"/>
        <v>0-50</v>
      </c>
      <c r="P6" s="3" t="str">
        <f t="shared" si="4"/>
        <v>XRP</v>
      </c>
      <c r="Q6" s="3" t="str">
        <f t="shared" si="5"/>
        <v>No</v>
      </c>
      <c r="R6" s="3" t="str">
        <f t="shared" si="6"/>
        <v>&gt; 50</v>
      </c>
      <c r="S6" s="3">
        <f t="shared" si="7"/>
        <v>55563677460.052917</v>
      </c>
    </row>
    <row r="7" spans="1:19" x14ac:dyDescent="0.35">
      <c r="A7" s="3" t="s">
        <v>16</v>
      </c>
      <c r="B7" s="3" t="s">
        <v>16</v>
      </c>
      <c r="C7" s="3">
        <v>0.99961874710505583</v>
      </c>
      <c r="D7" s="3">
        <v>-2.1987600000000001E-3</v>
      </c>
      <c r="E7" s="3">
        <v>-5.4388300000000004E-3</v>
      </c>
      <c r="F7" s="3">
        <v>70177276643.161545</v>
      </c>
      <c r="G7" s="3">
        <v>17960088237.617249</v>
      </c>
      <c r="H7" s="2">
        <v>70204042137.463242</v>
      </c>
      <c r="I7" s="3">
        <f>CryptoTable[[#This Row],[volume_24h]]/CryptoTable[[#This Row],[circulating_supply]]</f>
        <v>0.25582698219071837</v>
      </c>
      <c r="J7" s="3">
        <f>RANK(CryptoTable[[#This Row],[market_cap]],CryptoTable[market_cap],0)</f>
        <v>6</v>
      </c>
      <c r="K7" s="3" t="str">
        <f t="shared" si="0"/>
        <v>0.5-1</v>
      </c>
      <c r="L7" s="3">
        <f t="shared" si="1"/>
        <v>0.99964072680550053</v>
      </c>
      <c r="M7" s="3">
        <f>C7-CryptoTable[[#This Row],[Previous_Price]]</f>
        <v>-2.1979700444707539E-5</v>
      </c>
      <c r="N7" s="3" t="str">
        <f t="shared" si="2"/>
        <v>&lt;10</v>
      </c>
      <c r="O7" s="3" t="str">
        <f t="shared" si="3"/>
        <v>0-50</v>
      </c>
      <c r="P7" s="3" t="str">
        <f t="shared" si="4"/>
        <v>Others</v>
      </c>
      <c r="Q7" s="3" t="str">
        <f t="shared" si="5"/>
        <v>Yes</v>
      </c>
      <c r="R7" s="3" t="str">
        <f t="shared" si="6"/>
        <v>&gt; 50</v>
      </c>
      <c r="S7" s="3">
        <f t="shared" si="7"/>
        <v>46793772926.874199</v>
      </c>
    </row>
    <row r="8" spans="1:19" x14ac:dyDescent="0.35">
      <c r="A8" s="3" t="s">
        <v>17</v>
      </c>
      <c r="B8" s="3" t="s">
        <v>18</v>
      </c>
      <c r="C8" s="3">
        <v>113.99156631741066</v>
      </c>
      <c r="D8" s="3">
        <v>-0.87650912999999997</v>
      </c>
      <c r="E8" s="3">
        <v>-7.7958635000000003</v>
      </c>
      <c r="F8" s="3">
        <v>64540866308.955681</v>
      </c>
      <c r="G8" s="3">
        <v>7375324263.619132</v>
      </c>
      <c r="H8" s="2">
        <v>566189836.61686862</v>
      </c>
      <c r="I8" s="3">
        <f>CryptoTable[[#This Row],[volume_24h]]/CryptoTable[[#This Row],[circulating_supply]]</f>
        <v>13.026239233979561</v>
      </c>
      <c r="J8" s="3">
        <f>RANK(CryptoTable[[#This Row],[market_cap]],CryptoTable[market_cap],0)</f>
        <v>7</v>
      </c>
      <c r="K8" s="3" t="str">
        <f t="shared" si="0"/>
        <v>100-10000</v>
      </c>
      <c r="L8" s="3">
        <f t="shared" si="1"/>
        <v>114.99954785380801</v>
      </c>
      <c r="M8" s="3">
        <f>C8-CryptoTable[[#This Row],[Previous_Price]]</f>
        <v>-1.0079815363973523</v>
      </c>
      <c r="N8" s="3" t="str">
        <f t="shared" si="2"/>
        <v>&gt;=10</v>
      </c>
      <c r="O8" s="3" t="str">
        <f t="shared" si="3"/>
        <v>&gt;50</v>
      </c>
      <c r="P8" s="3" t="str">
        <f t="shared" si="4"/>
        <v>Others</v>
      </c>
      <c r="Q8" s="3" t="str">
        <f t="shared" si="5"/>
        <v>No</v>
      </c>
      <c r="R8" s="3" t="str">
        <f t="shared" si="6"/>
        <v>&gt; 50</v>
      </c>
      <c r="S8" s="3">
        <f t="shared" si="7"/>
        <v>21702352048.232014</v>
      </c>
    </row>
    <row r="9" spans="1:19" x14ac:dyDescent="0.35">
      <c r="A9" s="3" t="s">
        <v>19</v>
      </c>
      <c r="B9" s="3" t="s">
        <v>20</v>
      </c>
      <c r="C9" s="3">
        <v>0.29089056752824666</v>
      </c>
      <c r="D9" s="3">
        <v>-0.29139744000000001</v>
      </c>
      <c r="E9" s="3">
        <v>-0.98432903999999999</v>
      </c>
      <c r="F9" s="3">
        <v>27552158283.603786</v>
      </c>
      <c r="G9" s="3">
        <v>786816172.72069836</v>
      </c>
      <c r="H9" s="2">
        <v>94716575094.613068</v>
      </c>
      <c r="I9" s="3">
        <f>CryptoTable[[#This Row],[volume_24h]]/CryptoTable[[#This Row],[circulating_supply]]</f>
        <v>8.3070589486026278E-3</v>
      </c>
      <c r="J9" s="3">
        <f>RANK(CryptoTable[[#This Row],[market_cap]],CryptoTable[market_cap],0)</f>
        <v>8</v>
      </c>
      <c r="K9" s="3" t="str">
        <f t="shared" si="0"/>
        <v>0-0.5</v>
      </c>
      <c r="L9" s="3">
        <f t="shared" si="1"/>
        <v>0.29174069243744766</v>
      </c>
      <c r="M9" s="3">
        <f>C9-CryptoTable[[#This Row],[Previous_Price]]</f>
        <v>-8.5012490920099992E-4</v>
      </c>
      <c r="N9" s="3" t="str">
        <f t="shared" si="2"/>
        <v>&lt;10</v>
      </c>
      <c r="O9" s="3" t="str">
        <f t="shared" si="3"/>
        <v>0-50</v>
      </c>
      <c r="P9" s="3" t="str">
        <f t="shared" si="4"/>
        <v>Others</v>
      </c>
      <c r="Q9" s="3" t="str">
        <f t="shared" si="5"/>
        <v>No</v>
      </c>
      <c r="R9" s="3" t="str">
        <f t="shared" si="6"/>
        <v>&gt; 50</v>
      </c>
      <c r="S9" s="3">
        <f t="shared" si="7"/>
        <v>40756244459.308487</v>
      </c>
    </row>
    <row r="10" spans="1:19" x14ac:dyDescent="0.35">
      <c r="A10" s="3" t="s">
        <v>21</v>
      </c>
      <c r="B10" s="3" t="s">
        <v>22</v>
      </c>
      <c r="C10" s="3">
        <v>0.11296624772353477</v>
      </c>
      <c r="D10" s="3">
        <v>-1.2505180600000001</v>
      </c>
      <c r="E10" s="3">
        <v>-7.4385538699999998</v>
      </c>
      <c r="F10" s="3">
        <v>19038047318.285839</v>
      </c>
      <c r="G10" s="3">
        <v>2006479617.2378588</v>
      </c>
      <c r="H10" s="2">
        <v>168528633126.57907</v>
      </c>
      <c r="I10" s="3">
        <f>CryptoTable[[#This Row],[volume_24h]]/CryptoTable[[#This Row],[circulating_supply]]</f>
        <v>1.1905867744923944E-2</v>
      </c>
      <c r="J10" s="3">
        <f>RANK(CryptoTable[[#This Row],[market_cap]],CryptoTable[market_cap],0)</f>
        <v>9</v>
      </c>
      <c r="K10" s="3" t="str">
        <f t="shared" si="0"/>
        <v>0-0.5</v>
      </c>
      <c r="L10" s="3">
        <f t="shared" si="1"/>
        <v>0.11439680037225193</v>
      </c>
      <c r="M10" s="3">
        <f>C10-CryptoTable[[#This Row],[Previous_Price]]</f>
        <v>-1.4305526487171649E-3</v>
      </c>
      <c r="N10" s="3" t="str">
        <f t="shared" si="2"/>
        <v>&lt;10</v>
      </c>
      <c r="O10" s="3" t="str">
        <f t="shared" si="3"/>
        <v>0-50</v>
      </c>
      <c r="P10" s="3" t="str">
        <f t="shared" si="4"/>
        <v>Others</v>
      </c>
      <c r="Q10" s="3" t="str">
        <f t="shared" si="5"/>
        <v>Yes</v>
      </c>
      <c r="R10" s="3" t="str">
        <f t="shared" si="6"/>
        <v>&gt; 50</v>
      </c>
      <c r="S10" s="3">
        <f t="shared" si="7"/>
        <v>62522226814.538124</v>
      </c>
    </row>
    <row r="11" spans="1:19" x14ac:dyDescent="0.35">
      <c r="A11" s="3" t="s">
        <v>23</v>
      </c>
      <c r="B11" s="3" t="s">
        <v>24</v>
      </c>
      <c r="C11" s="3">
        <v>0.32187970961639667</v>
      </c>
      <c r="D11" s="3">
        <v>-1.16377815</v>
      </c>
      <c r="E11" s="3">
        <v>-8.4488316099999992</v>
      </c>
      <c r="F11" s="3">
        <v>11602513435.639847</v>
      </c>
      <c r="G11" s="3">
        <v>794079261.17402697</v>
      </c>
      <c r="H11" s="2">
        <v>36046116263.330971</v>
      </c>
      <c r="I11" s="3">
        <f>CryptoTable[[#This Row],[volume_24h]]/CryptoTable[[#This Row],[circulating_supply]]</f>
        <v>2.2029537256468008E-2</v>
      </c>
      <c r="J11" s="3">
        <f>RANK(CryptoTable[[#This Row],[market_cap]],CryptoTable[market_cap],0)</f>
        <v>10</v>
      </c>
      <c r="K11" s="3" t="str">
        <f t="shared" si="0"/>
        <v>0-0.5</v>
      </c>
      <c r="L11" s="3">
        <f t="shared" si="1"/>
        <v>0.32566978339671998</v>
      </c>
      <c r="M11" s="3">
        <f>C11-CryptoTable[[#This Row],[Previous_Price]]</f>
        <v>-3.7900737803233109E-3</v>
      </c>
      <c r="N11" s="3" t="str">
        <f t="shared" si="2"/>
        <v>&lt;10</v>
      </c>
      <c r="O11" s="3" t="str">
        <f t="shared" si="3"/>
        <v>0-50</v>
      </c>
      <c r="P11" s="3" t="str">
        <f t="shared" si="4"/>
        <v>Others</v>
      </c>
      <c r="Q11" s="3" t="str">
        <f t="shared" si="5"/>
        <v>Yes</v>
      </c>
      <c r="R11" s="3" t="str">
        <f t="shared" si="6"/>
        <v>&gt; 50</v>
      </c>
      <c r="S11" s="3">
        <f t="shared" si="7"/>
        <v>15882876565.935678</v>
      </c>
    </row>
    <row r="12" spans="1:19" x14ac:dyDescent="0.35">
      <c r="A12" s="3" t="s">
        <v>25</v>
      </c>
      <c r="B12" s="3" t="s">
        <v>26</v>
      </c>
      <c r="C12" s="3">
        <v>542.21372185740256</v>
      </c>
      <c r="D12" s="3">
        <v>-0.55072155</v>
      </c>
      <c r="E12" s="3">
        <v>-6.27941781</v>
      </c>
      <c r="F12" s="3">
        <v>10837630624.637417</v>
      </c>
      <c r="G12" s="3">
        <v>530946324.44768906</v>
      </c>
      <c r="H12" s="2">
        <v>19987746.875</v>
      </c>
      <c r="I12" s="3">
        <f>CryptoTable[[#This Row],[volume_24h]]/CryptoTable[[#This Row],[circulating_supply]]</f>
        <v>26.563590572170934</v>
      </c>
      <c r="J12" s="3">
        <f>RANK(CryptoTable[[#This Row],[market_cap]],CryptoTable[market_cap],0)</f>
        <v>11</v>
      </c>
      <c r="K12" s="3" t="str">
        <f t="shared" si="0"/>
        <v>100-10000</v>
      </c>
      <c r="L12" s="3">
        <f t="shared" si="1"/>
        <v>545.21634576766758</v>
      </c>
      <c r="M12" s="3">
        <f>C12-CryptoTable[[#This Row],[Previous_Price]]</f>
        <v>-3.0026239102650152</v>
      </c>
      <c r="N12" s="3" t="str">
        <f t="shared" si="2"/>
        <v>&gt;=10</v>
      </c>
      <c r="O12" s="3" t="str">
        <f t="shared" si="3"/>
        <v>&gt;50</v>
      </c>
      <c r="P12" s="3" t="str">
        <f t="shared" si="4"/>
        <v>Others</v>
      </c>
      <c r="Q12" s="3" t="str">
        <f t="shared" si="5"/>
        <v>Yes</v>
      </c>
      <c r="R12" s="3" t="str">
        <f t="shared" si="6"/>
        <v>&gt; 50</v>
      </c>
      <c r="S12" s="3">
        <f t="shared" si="7"/>
        <v>3619206123.6538982</v>
      </c>
    </row>
    <row r="13" spans="1:19" x14ac:dyDescent="0.35">
      <c r="A13" s="3" t="s">
        <v>27</v>
      </c>
      <c r="B13" s="3" t="s">
        <v>28</v>
      </c>
      <c r="C13" s="3">
        <v>28.707625974095933</v>
      </c>
      <c r="D13" s="3">
        <v>-1.32833928</v>
      </c>
      <c r="E13" s="3">
        <v>-12.142328920000001</v>
      </c>
      <c r="F13" s="3">
        <v>8671766921.5311279</v>
      </c>
      <c r="G13" s="3">
        <v>787525269.73610806</v>
      </c>
      <c r="H13" s="2">
        <v>302071893</v>
      </c>
      <c r="I13" s="3">
        <f>CryptoTable[[#This Row],[volume_24h]]/CryptoTable[[#This Row],[circulating_supply]]</f>
        <v>2.6070789371194758</v>
      </c>
      <c r="J13" s="3">
        <f>RANK(CryptoTable[[#This Row],[market_cap]],CryptoTable[market_cap],0)</f>
        <v>12</v>
      </c>
      <c r="K13" s="3" t="str">
        <f t="shared" si="0"/>
        <v>10-100</v>
      </c>
      <c r="L13" s="3">
        <f t="shared" si="1"/>
        <v>29.094094256262085</v>
      </c>
      <c r="M13" s="3">
        <f>C13-CryptoTable[[#This Row],[Previous_Price]]</f>
        <v>-0.38646828216615248</v>
      </c>
      <c r="N13" s="3" t="str">
        <f t="shared" si="2"/>
        <v>&gt;=10</v>
      </c>
      <c r="O13" s="3" t="str">
        <f t="shared" si="3"/>
        <v>0-50</v>
      </c>
      <c r="P13" s="3" t="str">
        <f t="shared" si="4"/>
        <v>Others</v>
      </c>
      <c r="Q13" s="3" t="str">
        <f t="shared" si="5"/>
        <v>No</v>
      </c>
      <c r="R13" s="3" t="str">
        <f t="shared" si="6"/>
        <v>&gt; 50</v>
      </c>
      <c r="S13" s="3">
        <f t="shared" si="7"/>
        <v>2991279604.4009299</v>
      </c>
    </row>
    <row r="14" spans="1:19" x14ac:dyDescent="0.35">
      <c r="A14" s="3" t="s">
        <v>29</v>
      </c>
      <c r="B14" s="3" t="s">
        <v>30</v>
      </c>
      <c r="C14" s="3">
        <v>9.2054699542376568</v>
      </c>
      <c r="D14" s="3">
        <v>-5.6401519999999997E-2</v>
      </c>
      <c r="E14" s="3">
        <v>-3.7714100000000002E-3</v>
      </c>
      <c r="F14" s="3">
        <v>8484618819.3623934</v>
      </c>
      <c r="G14" s="3">
        <v>872988.87101453997</v>
      </c>
      <c r="H14" s="2">
        <v>921693173.89999998</v>
      </c>
      <c r="I14" s="3">
        <f>CryptoTable[[#This Row],[volume_24h]]/CryptoTable[[#This Row],[circulating_supply]]</f>
        <v>9.4715779148132841E-4</v>
      </c>
      <c r="J14" s="3">
        <f>RANK(CryptoTable[[#This Row],[market_cap]],CryptoTable[market_cap],0)</f>
        <v>13</v>
      </c>
      <c r="K14" s="3" t="str">
        <f t="shared" si="0"/>
        <v>2-10</v>
      </c>
      <c r="L14" s="3">
        <f t="shared" si="1"/>
        <v>9.2106649092485799</v>
      </c>
      <c r="M14" s="3">
        <f>C14-CryptoTable[[#This Row],[Previous_Price]]</f>
        <v>-5.1949550109231524E-3</v>
      </c>
      <c r="N14" s="3" t="str">
        <f t="shared" si="2"/>
        <v>&lt;10</v>
      </c>
      <c r="O14" s="3" t="str">
        <f t="shared" si="3"/>
        <v>0-50</v>
      </c>
      <c r="P14" s="3" t="str">
        <f t="shared" si="4"/>
        <v>Others</v>
      </c>
      <c r="Q14" s="3" t="str">
        <f t="shared" si="5"/>
        <v>Yes</v>
      </c>
      <c r="R14" s="3" t="str">
        <f t="shared" si="6"/>
        <v>&gt; 50</v>
      </c>
      <c r="S14" s="3">
        <f t="shared" si="7"/>
        <v>3135437331.0686641</v>
      </c>
    </row>
    <row r="15" spans="1:19" x14ac:dyDescent="0.35">
      <c r="A15" s="3" t="s">
        <v>31</v>
      </c>
      <c r="B15" s="3" t="s">
        <v>32</v>
      </c>
      <c r="C15" s="3">
        <v>429.43237490085437</v>
      </c>
      <c r="D15" s="3">
        <v>-2.24967512</v>
      </c>
      <c r="E15" s="3">
        <v>-9.4307293399999992</v>
      </c>
      <c r="F15" s="3">
        <v>7921629116.7613535</v>
      </c>
      <c r="G15" s="3">
        <v>121732959.29968712</v>
      </c>
      <c r="H15" s="2">
        <v>18446744.073709551</v>
      </c>
      <c r="I15" s="3">
        <f>CryptoTable[[#This Row],[volume_24h]]/CryptoTable[[#This Row],[circulating_supply]]</f>
        <v>6.5991569467905133</v>
      </c>
      <c r="J15" s="3">
        <f>RANK(CryptoTable[[#This Row],[market_cap]],CryptoTable[market_cap],0)</f>
        <v>14</v>
      </c>
      <c r="K15" s="3" t="str">
        <f t="shared" si="0"/>
        <v>100-10000</v>
      </c>
      <c r="L15" s="3">
        <f t="shared" si="1"/>
        <v>439.31554747059209</v>
      </c>
      <c r="M15" s="3">
        <f>C15-CryptoTable[[#This Row],[Previous_Price]]</f>
        <v>-9.8831725697377237</v>
      </c>
      <c r="N15" s="3" t="str">
        <f t="shared" si="2"/>
        <v>&gt;=10</v>
      </c>
      <c r="O15" s="3" t="str">
        <f t="shared" si="3"/>
        <v>&gt;50</v>
      </c>
      <c r="P15" s="3" t="str">
        <f t="shared" si="4"/>
        <v>Others</v>
      </c>
      <c r="Q15" s="3" t="str">
        <f t="shared" si="5"/>
        <v>No</v>
      </c>
      <c r="R15" s="3" t="str">
        <f t="shared" si="6"/>
        <v>&gt; 50</v>
      </c>
      <c r="S15" s="3">
        <f t="shared" si="7"/>
        <v>2646691952.8617959</v>
      </c>
    </row>
    <row r="16" spans="1:19" x14ac:dyDescent="0.35">
      <c r="A16" s="3" t="s">
        <v>33</v>
      </c>
      <c r="B16" s="3" t="s">
        <v>34</v>
      </c>
      <c r="C16" s="3">
        <v>10.722927996948924</v>
      </c>
      <c r="D16" s="3">
        <v>-1.31349626</v>
      </c>
      <c r="E16" s="3">
        <v>-7.7723414200000001</v>
      </c>
      <c r="F16" s="3">
        <v>7592904997.8047466</v>
      </c>
      <c r="G16" s="3">
        <v>621800583.81138194</v>
      </c>
      <c r="H16" s="2">
        <v>708099970.45258665</v>
      </c>
      <c r="I16" s="3">
        <f>CryptoTable[[#This Row],[volume_24h]]/CryptoTable[[#This Row],[circulating_supply]]</f>
        <v>0.87812541979623882</v>
      </c>
      <c r="J16" s="3">
        <f>RANK(CryptoTable[[#This Row],[market_cap]],CryptoTable[market_cap],0)</f>
        <v>15</v>
      </c>
      <c r="K16" s="3" t="str">
        <f t="shared" si="0"/>
        <v>10-100</v>
      </c>
      <c r="L16" s="3">
        <f t="shared" si="1"/>
        <v>10.8656478754173</v>
      </c>
      <c r="M16" s="3">
        <f>C16-CryptoTable[[#This Row],[Previous_Price]]</f>
        <v>-0.14271987846837675</v>
      </c>
      <c r="N16" s="3" t="str">
        <f t="shared" si="2"/>
        <v>&gt;=10</v>
      </c>
      <c r="O16" s="3" t="str">
        <f t="shared" si="3"/>
        <v>0-50</v>
      </c>
      <c r="P16" s="3" t="str">
        <f t="shared" si="4"/>
        <v>Others</v>
      </c>
      <c r="Q16" s="3" t="str">
        <f t="shared" si="5"/>
        <v>Yes</v>
      </c>
      <c r="R16" s="3" t="str">
        <f t="shared" si="6"/>
        <v>&gt; 50</v>
      </c>
      <c r="S16" s="3">
        <f t="shared" si="7"/>
        <v>2767001655.6479454</v>
      </c>
    </row>
    <row r="17" spans="1:19" x14ac:dyDescent="0.35">
      <c r="A17" s="3" t="s">
        <v>35</v>
      </c>
      <c r="B17" s="3" t="s">
        <v>36</v>
      </c>
      <c r="C17" s="3">
        <v>0.99831600523004727</v>
      </c>
      <c r="D17" s="3">
        <v>1.5742E-3</v>
      </c>
      <c r="E17" s="3">
        <v>-3.4881229999999999E-2</v>
      </c>
      <c r="F17" s="3">
        <v>6573580022.2279043</v>
      </c>
      <c r="G17" s="3">
        <v>145060672.14089808</v>
      </c>
      <c r="H17" s="2">
        <v>6584668569.6610861</v>
      </c>
      <c r="I17" s="3">
        <f>CryptoTable[[#This Row],[volume_24h]]/CryptoTable[[#This Row],[circulating_supply]]</f>
        <v>2.2030064323854705E-2</v>
      </c>
      <c r="J17" s="3">
        <f>RANK(CryptoTable[[#This Row],[market_cap]],CryptoTable[market_cap],0)</f>
        <v>16</v>
      </c>
      <c r="K17" s="3" t="str">
        <f t="shared" si="0"/>
        <v>0.5-1</v>
      </c>
      <c r="L17" s="3">
        <f t="shared" si="1"/>
        <v>0.99830028998688236</v>
      </c>
      <c r="M17" s="3">
        <f>C17-CryptoTable[[#This Row],[Previous_Price]]</f>
        <v>1.5715243164904358E-5</v>
      </c>
      <c r="N17" s="3" t="str">
        <f t="shared" si="2"/>
        <v>&lt;10</v>
      </c>
      <c r="O17" s="3" t="str">
        <f t="shared" si="3"/>
        <v>0-50</v>
      </c>
      <c r="P17" s="3" t="str">
        <f t="shared" si="4"/>
        <v>Others</v>
      </c>
      <c r="Q17" s="3" t="str">
        <f t="shared" si="5"/>
        <v>Yes</v>
      </c>
      <c r="R17" s="3" t="str">
        <f t="shared" si="6"/>
        <v>&gt; 50</v>
      </c>
      <c r="S17" s="3">
        <f t="shared" si="7"/>
        <v>4386082863.963521</v>
      </c>
    </row>
    <row r="18" spans="1:19" x14ac:dyDescent="0.35">
      <c r="A18" s="3" t="s">
        <v>37</v>
      </c>
      <c r="B18" s="3" t="s">
        <v>38</v>
      </c>
      <c r="C18" s="3">
        <v>0.17248663983403223</v>
      </c>
      <c r="D18" s="3">
        <v>0.16308017</v>
      </c>
      <c r="E18" s="3">
        <v>6.20692442</v>
      </c>
      <c r="F18" s="3">
        <v>6482504382.7925444</v>
      </c>
      <c r="G18" s="3">
        <v>45347434.175385393</v>
      </c>
      <c r="H18" s="2">
        <v>37582646337.305038</v>
      </c>
      <c r="I18" s="3">
        <f>CryptoTable[[#This Row],[volume_24h]]/CryptoTable[[#This Row],[circulating_supply]]</f>
        <v>1.2066056702977012E-3</v>
      </c>
      <c r="J18" s="3">
        <f>RANK(CryptoTable[[#This Row],[market_cap]],CryptoTable[market_cap],0)</f>
        <v>17</v>
      </c>
      <c r="K18" s="3" t="str">
        <f t="shared" si="0"/>
        <v>0-0.5</v>
      </c>
      <c r="L18" s="3">
        <f t="shared" si="1"/>
        <v>0.17220580631234819</v>
      </c>
      <c r="M18" s="3">
        <f>C18-CryptoTable[[#This Row],[Previous_Price]]</f>
        <v>2.8083352168403741E-4</v>
      </c>
      <c r="N18" s="3" t="str">
        <f t="shared" si="2"/>
        <v>&lt;10</v>
      </c>
      <c r="O18" s="3" t="str">
        <f t="shared" si="3"/>
        <v>0-50</v>
      </c>
      <c r="P18" s="3" t="str">
        <f t="shared" si="4"/>
        <v>Others</v>
      </c>
      <c r="Q18" s="3" t="str">
        <f t="shared" si="5"/>
        <v>Yes</v>
      </c>
      <c r="R18" s="3" t="str">
        <f t="shared" si="6"/>
        <v>&gt; 50</v>
      </c>
      <c r="S18" s="3">
        <f t="shared" si="7"/>
        <v>14688383573.420221</v>
      </c>
    </row>
    <row r="19" spans="1:19" x14ac:dyDescent="0.35">
      <c r="A19" s="3" t="s">
        <v>39</v>
      </c>
      <c r="B19" s="3" t="s">
        <v>40</v>
      </c>
      <c r="C19" s="3">
        <v>0.19217494486535358</v>
      </c>
      <c r="D19" s="3">
        <v>-1.0344722200000001</v>
      </c>
      <c r="E19" s="3">
        <v>-6.8428694400000003</v>
      </c>
      <c r="F19" s="3">
        <v>6248281132.9549789</v>
      </c>
      <c r="G19" s="3">
        <v>202528047.55254573</v>
      </c>
      <c r="H19" s="2">
        <v>32513505531.810123</v>
      </c>
      <c r="I19" s="3">
        <f>CryptoTable[[#This Row],[volume_24h]]/CryptoTable[[#This Row],[circulating_supply]]</f>
        <v>6.2290437232121612E-3</v>
      </c>
      <c r="J19" s="3">
        <f>RANK(CryptoTable[[#This Row],[market_cap]],CryptoTable[market_cap],0)</f>
        <v>18</v>
      </c>
      <c r="K19" s="3" t="str">
        <f t="shared" si="0"/>
        <v>0-0.5</v>
      </c>
      <c r="L19" s="3">
        <f t="shared" si="1"/>
        <v>0.19418372152024266</v>
      </c>
      <c r="M19" s="3">
        <f>C19-CryptoTable[[#This Row],[Previous_Price]]</f>
        <v>-2.0087766548890773E-3</v>
      </c>
      <c r="N19" s="3" t="str">
        <f t="shared" si="2"/>
        <v>&lt;10</v>
      </c>
      <c r="O19" s="3" t="str">
        <f t="shared" si="3"/>
        <v>0-50</v>
      </c>
      <c r="P19" s="3" t="str">
        <f t="shared" si="4"/>
        <v>Others</v>
      </c>
      <c r="Q19" s="3" t="str">
        <f t="shared" si="5"/>
        <v>No</v>
      </c>
      <c r="R19" s="3" t="str">
        <f t="shared" si="6"/>
        <v>&gt; 50</v>
      </c>
      <c r="S19" s="3">
        <f t="shared" si="7"/>
        <v>12920595554.576876</v>
      </c>
    </row>
    <row r="20" spans="1:19" x14ac:dyDescent="0.35">
      <c r="A20" s="3" t="s">
        <v>41</v>
      </c>
      <c r="B20" s="3" t="s">
        <v>42</v>
      </c>
      <c r="C20" s="3">
        <v>332.53905684042877</v>
      </c>
      <c r="D20" s="3">
        <v>-1.2621039300000001</v>
      </c>
      <c r="E20" s="3">
        <v>-8.9736576400000008</v>
      </c>
      <c r="F20" s="3">
        <v>5490407019.8398275</v>
      </c>
      <c r="G20" s="3">
        <v>477191041.44196737</v>
      </c>
      <c r="H20" s="2">
        <v>16510562.9155448</v>
      </c>
      <c r="I20" s="3">
        <f>CryptoTable[[#This Row],[volume_24h]]/CryptoTable[[#This Row],[circulating_supply]]</f>
        <v>28.90216668461915</v>
      </c>
      <c r="J20" s="3">
        <f>RANK(CryptoTable[[#This Row],[market_cap]],CryptoTable[market_cap],0)</f>
        <v>19</v>
      </c>
      <c r="K20" s="3" t="str">
        <f t="shared" si="0"/>
        <v>100-10000</v>
      </c>
      <c r="L20" s="3">
        <f t="shared" si="1"/>
        <v>336.78969278895306</v>
      </c>
      <c r="M20" s="3">
        <f>C20-CryptoTable[[#This Row],[Previous_Price]]</f>
        <v>-4.2506359485242911</v>
      </c>
      <c r="N20" s="3" t="str">
        <f t="shared" si="2"/>
        <v>&gt;=10</v>
      </c>
      <c r="O20" s="3" t="str">
        <f t="shared" si="3"/>
        <v>&gt;50</v>
      </c>
      <c r="P20" s="3" t="str">
        <f t="shared" si="4"/>
        <v>Others</v>
      </c>
      <c r="Q20" s="3" t="str">
        <f t="shared" si="5"/>
        <v>No</v>
      </c>
      <c r="R20" s="3" t="str">
        <f t="shared" si="6"/>
        <v>&gt; 50</v>
      </c>
      <c r="S20" s="3">
        <f t="shared" si="7"/>
        <v>1835639193.8310893</v>
      </c>
    </row>
    <row r="21" spans="1:19" x14ac:dyDescent="0.35">
      <c r="A21" s="3" t="s">
        <v>43</v>
      </c>
      <c r="B21" s="3" t="s">
        <v>44</v>
      </c>
      <c r="C21" s="3">
        <v>0.99966163695746524</v>
      </c>
      <c r="D21" s="3">
        <v>1.0246740000000001E-2</v>
      </c>
      <c r="E21" s="3">
        <v>-4.3747400000000002E-3</v>
      </c>
      <c r="F21" s="3">
        <v>5363567255.449235</v>
      </c>
      <c r="G21" s="3">
        <v>185735476.12897056</v>
      </c>
      <c r="H21" s="2">
        <v>5365382702.6648722</v>
      </c>
      <c r="I21" s="3">
        <f>CryptoTable[[#This Row],[volume_24h]]/CryptoTable[[#This Row],[circulating_supply]]</f>
        <v>3.4617377067384152E-2</v>
      </c>
      <c r="J21" s="3">
        <f>RANK(CryptoTable[[#This Row],[market_cap]],CryptoTable[market_cap],0)</f>
        <v>20</v>
      </c>
      <c r="K21" s="3" t="str">
        <f t="shared" si="0"/>
        <v>0.5-1</v>
      </c>
      <c r="L21" s="3">
        <f t="shared" si="1"/>
        <v>0.99955921472358644</v>
      </c>
      <c r="M21" s="3">
        <f>C21-CryptoTable[[#This Row],[Previous_Price]]</f>
        <v>1.0242223387879612E-4</v>
      </c>
      <c r="N21" s="3" t="str">
        <f t="shared" si="2"/>
        <v>&lt;10</v>
      </c>
      <c r="O21" s="3" t="str">
        <f t="shared" si="3"/>
        <v>0-50</v>
      </c>
      <c r="P21" s="3" t="str">
        <f t="shared" si="4"/>
        <v>Others</v>
      </c>
      <c r="Q21" s="3" t="str">
        <f t="shared" si="5"/>
        <v>Yes</v>
      </c>
      <c r="R21" s="3" t="str">
        <f t="shared" si="6"/>
        <v>&gt; 50</v>
      </c>
      <c r="S21" s="3">
        <f t="shared" si="7"/>
        <v>3576316652.708118</v>
      </c>
    </row>
    <row r="22" spans="1:19" x14ac:dyDescent="0.35">
      <c r="A22" s="3" t="s">
        <v>45</v>
      </c>
      <c r="B22" s="3" t="s">
        <v>46</v>
      </c>
      <c r="C22" s="3">
        <v>0.99906645904396674</v>
      </c>
      <c r="D22" s="3">
        <v>1.8346680000000001E-2</v>
      </c>
      <c r="E22" s="3">
        <v>-4.6583199999999998E-2</v>
      </c>
      <c r="F22" s="3">
        <v>5041556524.3867598</v>
      </c>
      <c r="G22" s="3">
        <v>2331998634.426074</v>
      </c>
      <c r="H22" s="2">
        <v>5046267421.7000132</v>
      </c>
      <c r="I22" s="3">
        <f>CryptoTable[[#This Row],[volume_24h]]/CryptoTable[[#This Row],[circulating_supply]]</f>
        <v>0.46212347455031583</v>
      </c>
      <c r="J22" s="3">
        <f>RANK(CryptoTable[[#This Row],[market_cap]],CryptoTable[market_cap],0)</f>
        <v>21</v>
      </c>
      <c r="K22" s="3" t="str">
        <f t="shared" si="0"/>
        <v>0.5-1</v>
      </c>
      <c r="L22" s="3">
        <f t="shared" si="1"/>
        <v>0.99888319714021367</v>
      </c>
      <c r="M22" s="3">
        <f>C22-CryptoTable[[#This Row],[Previous_Price]]</f>
        <v>1.8326190375306251E-4</v>
      </c>
      <c r="N22" s="3" t="str">
        <f t="shared" si="2"/>
        <v>&lt;10</v>
      </c>
      <c r="O22" s="3" t="str">
        <f t="shared" si="3"/>
        <v>0-50</v>
      </c>
      <c r="P22" s="3" t="str">
        <f t="shared" si="4"/>
        <v>Others</v>
      </c>
      <c r="Q22" s="3" t="str">
        <f t="shared" si="5"/>
        <v>No</v>
      </c>
      <c r="R22" s="3" t="str">
        <f t="shared" si="6"/>
        <v>&gt; 50</v>
      </c>
      <c r="S22" s="3">
        <f t="shared" si="7"/>
        <v>3362607982.0350399</v>
      </c>
    </row>
    <row r="23" spans="1:19" x14ac:dyDescent="0.35">
      <c r="A23" s="3" t="s">
        <v>47</v>
      </c>
      <c r="B23" s="3" t="s">
        <v>48</v>
      </c>
      <c r="C23" s="3">
        <v>63.628076463270027</v>
      </c>
      <c r="D23" s="3">
        <v>-0.80887056999999996</v>
      </c>
      <c r="E23" s="3">
        <v>-6.8295799400000003</v>
      </c>
      <c r="F23" s="3">
        <v>4886087208.7486315</v>
      </c>
      <c r="G23" s="3">
        <v>558188942.30337179</v>
      </c>
      <c r="H23" s="2">
        <v>76791370.733471349</v>
      </c>
      <c r="I23" s="3">
        <f>CryptoTable[[#This Row],[volume_24h]]/CryptoTable[[#This Row],[circulating_supply]]</f>
        <v>7.2689019218154396</v>
      </c>
      <c r="J23" s="3">
        <f>RANK(CryptoTable[[#This Row],[market_cap]],CryptoTable[market_cap],0)</f>
        <v>22</v>
      </c>
      <c r="K23" s="3" t="str">
        <f t="shared" si="0"/>
        <v>10-100</v>
      </c>
      <c r="L23" s="3">
        <f t="shared" si="1"/>
        <v>64.146942200283021</v>
      </c>
      <c r="M23" s="3">
        <f>C23-CryptoTable[[#This Row],[Previous_Price]]</f>
        <v>-0.51886573701299454</v>
      </c>
      <c r="N23" s="3" t="str">
        <f t="shared" si="2"/>
        <v>&gt;=10</v>
      </c>
      <c r="O23" s="3" t="str">
        <f t="shared" si="3"/>
        <v>&gt;50</v>
      </c>
      <c r="P23" s="3" t="str">
        <f t="shared" si="4"/>
        <v>Others</v>
      </c>
      <c r="Q23" s="3" t="str">
        <f t="shared" si="5"/>
        <v>No</v>
      </c>
      <c r="R23" s="3" t="str">
        <f t="shared" si="6"/>
        <v>&gt; 50</v>
      </c>
      <c r="S23" s="3">
        <f t="shared" si="7"/>
        <v>1654292859.557744</v>
      </c>
    </row>
    <row r="24" spans="1:19" x14ac:dyDescent="0.35">
      <c r="A24" s="3" t="s">
        <v>49</v>
      </c>
      <c r="B24" s="3" t="s">
        <v>50</v>
      </c>
      <c r="C24" s="3">
        <v>1.2751612129412626</v>
      </c>
      <c r="D24" s="3">
        <v>-1.26078607</v>
      </c>
      <c r="E24" s="3">
        <v>-6.7898716600000002</v>
      </c>
      <c r="F24" s="3">
        <v>4835644769.3239975</v>
      </c>
      <c r="G24" s="3">
        <v>1182653618.2361476</v>
      </c>
      <c r="H24" s="2">
        <v>3792183074.7738876</v>
      </c>
      <c r="I24" s="3">
        <f>CryptoTable[[#This Row],[volume_24h]]/CryptoTable[[#This Row],[circulating_supply]]</f>
        <v>0.31186617178461629</v>
      </c>
      <c r="J24" s="3">
        <f>RANK(CryptoTable[[#This Row],[market_cap]],CryptoTable[market_cap],0)</f>
        <v>23</v>
      </c>
      <c r="K24" s="3" t="str">
        <f t="shared" si="0"/>
        <v>1-2</v>
      </c>
      <c r="L24" s="3">
        <f t="shared" si="1"/>
        <v>1.2914435533639887</v>
      </c>
      <c r="M24" s="3">
        <f>C24-CryptoTable[[#This Row],[Previous_Price]]</f>
        <v>-1.6282340422726138E-2</v>
      </c>
      <c r="N24" s="3" t="str">
        <f t="shared" si="2"/>
        <v>&lt;10</v>
      </c>
      <c r="O24" s="3" t="str">
        <f t="shared" si="3"/>
        <v>0-50</v>
      </c>
      <c r="P24" s="3" t="str">
        <f t="shared" si="4"/>
        <v>Others</v>
      </c>
      <c r="Q24" s="3" t="str">
        <f t="shared" si="5"/>
        <v>No</v>
      </c>
      <c r="R24" s="3" t="str">
        <f t="shared" si="6"/>
        <v>&gt; 50</v>
      </c>
      <c r="S24" s="3">
        <f t="shared" si="7"/>
        <v>2875942614.2790332</v>
      </c>
    </row>
    <row r="25" spans="1:19" x14ac:dyDescent="0.35">
      <c r="A25" s="3" t="s">
        <v>51</v>
      </c>
      <c r="B25" s="3" t="s">
        <v>52</v>
      </c>
      <c r="C25" s="3">
        <v>10.804692530436915</v>
      </c>
      <c r="D25" s="3">
        <v>-1.06953023</v>
      </c>
      <c r="E25" s="3">
        <v>-8.7106274700000004</v>
      </c>
      <c r="F25" s="3">
        <v>4660404149.1632576</v>
      </c>
      <c r="G25" s="3">
        <v>587970856.55168056</v>
      </c>
      <c r="H25" s="2">
        <v>431331491.94526893</v>
      </c>
      <c r="I25" s="3">
        <f>CryptoTable[[#This Row],[volume_24h]]/CryptoTable[[#This Row],[circulating_supply]]</f>
        <v>1.3631530911410645</v>
      </c>
      <c r="J25" s="3">
        <f>RANK(CryptoTable[[#This Row],[market_cap]],CryptoTable[market_cap],0)</f>
        <v>24</v>
      </c>
      <c r="K25" s="3" t="str">
        <f t="shared" si="0"/>
        <v>10-100</v>
      </c>
      <c r="L25" s="3">
        <f t="shared" si="1"/>
        <v>10.921501288284963</v>
      </c>
      <c r="M25" s="3">
        <f>C25-CryptoTable[[#This Row],[Previous_Price]]</f>
        <v>-0.11680875784804812</v>
      </c>
      <c r="N25" s="3" t="str">
        <f t="shared" si="2"/>
        <v>&gt;=10</v>
      </c>
      <c r="O25" s="3" t="str">
        <f t="shared" si="3"/>
        <v>0-50</v>
      </c>
      <c r="P25" s="3" t="str">
        <f t="shared" si="4"/>
        <v>Others</v>
      </c>
      <c r="Q25" s="3" t="str">
        <f t="shared" si="5"/>
        <v>Yes</v>
      </c>
      <c r="R25" s="3" t="str">
        <f t="shared" si="6"/>
        <v>&gt; 50</v>
      </c>
      <c r="S25" s="3">
        <f t="shared" si="7"/>
        <v>1697245213.3463318</v>
      </c>
    </row>
    <row r="26" spans="1:19" x14ac:dyDescent="0.35">
      <c r="A26" s="3" t="s">
        <v>53</v>
      </c>
      <c r="B26" s="3" t="s">
        <v>54</v>
      </c>
      <c r="C26" s="3">
        <v>7.1553727606035919E-6</v>
      </c>
      <c r="D26" s="3">
        <v>-0.97172305000000003</v>
      </c>
      <c r="E26" s="3">
        <v>-5.9532382300000002</v>
      </c>
      <c r="F26" s="3">
        <v>4216259847.747035</v>
      </c>
      <c r="G26" s="3">
        <v>149956713.40547603</v>
      </c>
      <c r="H26" s="2">
        <v>589243913463338.87</v>
      </c>
      <c r="I26" s="3">
        <f>CryptoTable[[#This Row],[volume_24h]]/CryptoTable[[#This Row],[circulating_supply]]</f>
        <v>2.544900506890105E-7</v>
      </c>
      <c r="J26" s="3">
        <f>RANK(CryptoTable[[#This Row],[market_cap]],CryptoTable[market_cap],0)</f>
        <v>25</v>
      </c>
      <c r="K26" s="3" t="str">
        <f t="shared" si="0"/>
        <v>0-0.5</v>
      </c>
      <c r="L26" s="3">
        <f t="shared" si="1"/>
        <v>7.2255854398197637E-6</v>
      </c>
      <c r="M26" s="3">
        <f>C26-CryptoTable[[#This Row],[Previous_Price]]</f>
        <v>-7.0212679216171829E-8</v>
      </c>
      <c r="N26" s="3" t="str">
        <f t="shared" si="2"/>
        <v>&lt;10</v>
      </c>
      <c r="O26" s="3" t="str">
        <f t="shared" si="3"/>
        <v>0-50</v>
      </c>
      <c r="P26" s="3" t="str">
        <f t="shared" si="4"/>
        <v>Others</v>
      </c>
      <c r="Q26" s="3" t="str">
        <f t="shared" si="5"/>
        <v>No</v>
      </c>
      <c r="R26" s="3" t="str">
        <f t="shared" si="6"/>
        <v>&gt; 50</v>
      </c>
      <c r="S26" s="3">
        <f t="shared" si="7"/>
        <v>196416043241061.87</v>
      </c>
    </row>
    <row r="27" spans="1:19" x14ac:dyDescent="0.35">
      <c r="A27" s="3" t="s">
        <v>55</v>
      </c>
      <c r="B27" s="3" t="s">
        <v>56</v>
      </c>
      <c r="C27" s="3">
        <v>9.8019395124406605E-2</v>
      </c>
      <c r="D27" s="3">
        <v>-1.10442855</v>
      </c>
      <c r="E27" s="3">
        <v>-6.1416891400000004</v>
      </c>
      <c r="F27" s="3">
        <v>4215141641.1495562</v>
      </c>
      <c r="G27" s="3">
        <v>198951915.94573158</v>
      </c>
      <c r="H27" s="2">
        <v>43003138672.705353</v>
      </c>
      <c r="I27" s="3">
        <f>CryptoTable[[#This Row],[volume_24h]]/CryptoTable[[#This Row],[circulating_supply]]</f>
        <v>4.6264510472117919E-3</v>
      </c>
      <c r="J27" s="3">
        <f>RANK(CryptoTable[[#This Row],[market_cap]],CryptoTable[market_cap],0)</f>
        <v>26</v>
      </c>
      <c r="K27" s="3" t="str">
        <f t="shared" si="0"/>
        <v>0-0.5</v>
      </c>
      <c r="L27" s="3">
        <f t="shared" si="1"/>
        <v>9.9114038866708637E-2</v>
      </c>
      <c r="M27" s="3">
        <f>C27-CryptoTable[[#This Row],[Previous_Price]]</f>
        <v>-1.0946437423020317E-3</v>
      </c>
      <c r="N27" s="3" t="str">
        <f t="shared" si="2"/>
        <v>&lt;10</v>
      </c>
      <c r="O27" s="3" t="str">
        <f t="shared" si="3"/>
        <v>0-50</v>
      </c>
      <c r="P27" s="3" t="str">
        <f t="shared" si="4"/>
        <v>Others</v>
      </c>
      <c r="Q27" s="3" t="str">
        <f t="shared" si="5"/>
        <v>No</v>
      </c>
      <c r="R27" s="3" t="str">
        <f t="shared" si="6"/>
        <v>&gt; 50</v>
      </c>
      <c r="S27" s="3">
        <f t="shared" si="7"/>
        <v>15739426770.916826</v>
      </c>
    </row>
    <row r="28" spans="1:19" x14ac:dyDescent="0.35">
      <c r="A28" s="3" t="s">
        <v>57</v>
      </c>
      <c r="B28" s="3" t="s">
        <v>58</v>
      </c>
      <c r="C28" s="3">
        <v>0.14912587329384733</v>
      </c>
      <c r="D28" s="3">
        <v>-0.92924178999999996</v>
      </c>
      <c r="E28" s="3">
        <v>-7.3389622599999997</v>
      </c>
      <c r="F28" s="3">
        <v>3987945490.2129321</v>
      </c>
      <c r="G28" s="3">
        <v>166855821.18957743</v>
      </c>
      <c r="H28" s="2">
        <v>26742143413</v>
      </c>
      <c r="I28" s="3">
        <f>CryptoTable[[#This Row],[volume_24h]]/CryptoTable[[#This Row],[circulating_supply]]</f>
        <v>6.2394333398296262E-3</v>
      </c>
      <c r="J28" s="3">
        <f>RANK(CryptoTable[[#This Row],[market_cap]],CryptoTable[market_cap],0)</f>
        <v>27</v>
      </c>
      <c r="K28" s="3" t="str">
        <f t="shared" si="0"/>
        <v>0-0.5</v>
      </c>
      <c r="L28" s="3">
        <f t="shared" si="1"/>
        <v>0.15052461088240149</v>
      </c>
      <c r="M28" s="3">
        <f>C28-CryptoTable[[#This Row],[Previous_Price]]</f>
        <v>-1.3987375885541609E-3</v>
      </c>
      <c r="N28" s="3" t="str">
        <f t="shared" si="2"/>
        <v>&lt;10</v>
      </c>
      <c r="O28" s="3" t="str">
        <f t="shared" si="3"/>
        <v>0-50</v>
      </c>
      <c r="P28" s="3" t="str">
        <f t="shared" si="4"/>
        <v>Others</v>
      </c>
      <c r="Q28" s="3" t="str">
        <f t="shared" si="5"/>
        <v>No</v>
      </c>
      <c r="R28" s="3" t="str">
        <f t="shared" si="6"/>
        <v>&gt; 50</v>
      </c>
      <c r="S28" s="3">
        <f t="shared" si="7"/>
        <v>10243362967.427896</v>
      </c>
    </row>
    <row r="29" spans="1:19" x14ac:dyDescent="0.35">
      <c r="A29" s="3" t="s">
        <v>59</v>
      </c>
      <c r="B29" s="3" t="s">
        <v>60</v>
      </c>
      <c r="C29" s="3">
        <v>0.99941328482298608</v>
      </c>
      <c r="D29" s="3">
        <v>-1.02753E-3</v>
      </c>
      <c r="E29" s="3">
        <v>-1.4481279999999999E-2</v>
      </c>
      <c r="F29" s="3">
        <v>3645902738.7535954</v>
      </c>
      <c r="G29" s="3">
        <v>177322908.4034037</v>
      </c>
      <c r="H29" s="2">
        <v>3648043101.0073571</v>
      </c>
      <c r="I29" s="3">
        <f>CryptoTable[[#This Row],[volume_24h]]/CryptoTable[[#This Row],[circulating_supply]]</f>
        <v>4.8607679101828158E-2</v>
      </c>
      <c r="J29" s="3">
        <f>RANK(CryptoTable[[#This Row],[market_cap]],CryptoTable[market_cap],0)</f>
        <v>28</v>
      </c>
      <c r="K29" s="3" t="str">
        <f t="shared" si="0"/>
        <v>0.5-1</v>
      </c>
      <c r="L29" s="3">
        <f t="shared" si="1"/>
        <v>0.99942355419983253</v>
      </c>
      <c r="M29" s="3">
        <f>C29-CryptoTable[[#This Row],[Previous_Price]]</f>
        <v>-1.0269376846450129E-5</v>
      </c>
      <c r="N29" s="3" t="str">
        <f t="shared" si="2"/>
        <v>&lt;10</v>
      </c>
      <c r="O29" s="3" t="str">
        <f t="shared" si="3"/>
        <v>0-50</v>
      </c>
      <c r="P29" s="3" t="str">
        <f t="shared" si="4"/>
        <v>Others</v>
      </c>
      <c r="Q29" s="3" t="str">
        <f t="shared" si="5"/>
        <v>No</v>
      </c>
      <c r="R29" s="3" t="str">
        <f t="shared" si="6"/>
        <v>&gt; 50</v>
      </c>
      <c r="S29" s="3">
        <f t="shared" si="7"/>
        <v>2431315279.9199748</v>
      </c>
    </row>
    <row r="30" spans="1:19" x14ac:dyDescent="0.35">
      <c r="A30" s="3" t="s">
        <v>61</v>
      </c>
      <c r="B30" s="3" t="s">
        <v>62</v>
      </c>
      <c r="C30" s="3">
        <v>1.4214512184724701</v>
      </c>
      <c r="D30" s="3">
        <v>-0.19673945000000001</v>
      </c>
      <c r="E30" s="3">
        <v>-5.8009905599999998</v>
      </c>
      <c r="F30" s="3">
        <v>3462720252.6796341</v>
      </c>
      <c r="G30" s="3">
        <v>132542144.10425596</v>
      </c>
      <c r="H30" s="2">
        <v>2436045787.3473611</v>
      </c>
      <c r="I30" s="3">
        <f>CryptoTable[[#This Row],[volume_24h]]/CryptoTable[[#This Row],[circulating_supply]]</f>
        <v>5.4408724496341529E-2</v>
      </c>
      <c r="J30" s="3">
        <f>RANK(CryptoTable[[#This Row],[market_cap]],CryptoTable[market_cap],0)</f>
        <v>29</v>
      </c>
      <c r="K30" s="3" t="str">
        <f t="shared" si="0"/>
        <v>1-2</v>
      </c>
      <c r="L30" s="3">
        <f t="shared" si="1"/>
        <v>1.4242532865550455</v>
      </c>
      <c r="M30" s="3">
        <f>C30-CryptoTable[[#This Row],[Previous_Price]]</f>
        <v>-2.8020680825753264E-3</v>
      </c>
      <c r="N30" s="3" t="str">
        <f t="shared" si="2"/>
        <v>&lt;10</v>
      </c>
      <c r="O30" s="3" t="str">
        <f t="shared" si="3"/>
        <v>0-50</v>
      </c>
      <c r="P30" s="3" t="str">
        <f t="shared" si="4"/>
        <v>Others</v>
      </c>
      <c r="Q30" s="3" t="str">
        <f t="shared" si="5"/>
        <v>No</v>
      </c>
      <c r="R30" s="3" t="str">
        <f t="shared" si="6"/>
        <v>&gt; 50</v>
      </c>
      <c r="S30" s="3">
        <f t="shared" si="7"/>
        <v>1966255346.6100852</v>
      </c>
    </row>
    <row r="31" spans="1:19" x14ac:dyDescent="0.35">
      <c r="A31" s="3" t="s">
        <v>63</v>
      </c>
      <c r="B31" s="3" t="s">
        <v>64</v>
      </c>
      <c r="C31" s="3">
        <v>8.5166522274066042E-2</v>
      </c>
      <c r="D31" s="3">
        <v>-0.61309035999999995</v>
      </c>
      <c r="E31" s="3">
        <v>-5.1529342299999996</v>
      </c>
      <c r="F31" s="3">
        <v>3391509098.8651314</v>
      </c>
      <c r="G31" s="3">
        <v>25894571.42364677</v>
      </c>
      <c r="H31" s="2">
        <v>39822092159.067482</v>
      </c>
      <c r="I31" s="3">
        <f>CryptoTable[[#This Row],[volume_24h]]/CryptoTable[[#This Row],[circulating_supply]]</f>
        <v>6.5025642852244224E-4</v>
      </c>
      <c r="J31" s="3">
        <f>RANK(CryptoTable[[#This Row],[market_cap]],CryptoTable[market_cap],0)</f>
        <v>30</v>
      </c>
      <c r="K31" s="3" t="str">
        <f t="shared" si="0"/>
        <v>0-0.5</v>
      </c>
      <c r="L31" s="3">
        <f t="shared" si="1"/>
        <v>8.5691890997070794E-2</v>
      </c>
      <c r="M31" s="3">
        <f>C31-CryptoTable[[#This Row],[Previous_Price]]</f>
        <v>-5.2536872300475157E-4</v>
      </c>
      <c r="N31" s="3" t="str">
        <f t="shared" si="2"/>
        <v>&lt;10</v>
      </c>
      <c r="O31" s="3" t="str">
        <f t="shared" si="3"/>
        <v>0-50</v>
      </c>
      <c r="P31" s="3" t="str">
        <f t="shared" si="4"/>
        <v>Others</v>
      </c>
      <c r="Q31" s="3" t="str">
        <f t="shared" si="5"/>
        <v>Yes</v>
      </c>
      <c r="R31" s="3" t="str">
        <f t="shared" si="6"/>
        <v>&gt; 50</v>
      </c>
      <c r="S31" s="3">
        <f t="shared" si="7"/>
        <v>14404533752.43984</v>
      </c>
    </row>
    <row r="32" spans="1:19" x14ac:dyDescent="0.35">
      <c r="A32" s="3" t="s">
        <v>65</v>
      </c>
      <c r="B32" s="3" t="s">
        <v>66</v>
      </c>
      <c r="C32" s="3">
        <v>1.6895244314177511</v>
      </c>
      <c r="D32" s="3">
        <v>-0.99110313999999999</v>
      </c>
      <c r="E32" s="3">
        <v>-6.86599833</v>
      </c>
      <c r="F32" s="3">
        <v>2805140344.9874568</v>
      </c>
      <c r="G32" s="3">
        <v>190294121.61498991</v>
      </c>
      <c r="H32" s="2">
        <v>1660313572.7570069</v>
      </c>
      <c r="I32" s="3">
        <f>CryptoTable[[#This Row],[volume_24h]]/CryptoTable[[#This Row],[circulating_supply]]</f>
        <v>0.1146133626426965</v>
      </c>
      <c r="J32" s="3">
        <f>RANK(CryptoTable[[#This Row],[market_cap]],CryptoTable[market_cap],0)</f>
        <v>31</v>
      </c>
      <c r="K32" s="3" t="str">
        <f t="shared" si="0"/>
        <v>1-2</v>
      </c>
      <c r="L32" s="3">
        <f t="shared" si="1"/>
        <v>1.7064369819277585</v>
      </c>
      <c r="M32" s="3">
        <f>C32-CryptoTable[[#This Row],[Previous_Price]]</f>
        <v>-1.6912550510007396E-2</v>
      </c>
      <c r="N32" s="3" t="str">
        <f t="shared" si="2"/>
        <v>&lt;10</v>
      </c>
      <c r="O32" s="3" t="str">
        <f t="shared" si="3"/>
        <v>0-50</v>
      </c>
      <c r="P32" s="3" t="str">
        <f t="shared" si="4"/>
        <v>Others</v>
      </c>
      <c r="Q32" s="3" t="str">
        <f t="shared" si="5"/>
        <v>No</v>
      </c>
      <c r="R32" s="3" t="str">
        <f t="shared" si="6"/>
        <v>&gt; 50</v>
      </c>
      <c r="S32" s="3">
        <f t="shared" si="7"/>
        <v>1488484638.9177868</v>
      </c>
    </row>
    <row r="33" spans="1:19" x14ac:dyDescent="0.35">
      <c r="A33" s="3" t="s">
        <v>67</v>
      </c>
      <c r="B33" s="3" t="s">
        <v>68</v>
      </c>
      <c r="C33" s="3">
        <v>4.209083180004229</v>
      </c>
      <c r="D33" s="3">
        <v>-1.3550407900000001</v>
      </c>
      <c r="E33" s="3">
        <v>-11.22011942</v>
      </c>
      <c r="F33" s="3">
        <v>2672126198.2250304</v>
      </c>
      <c r="G33" s="3">
        <v>275334584.61919898</v>
      </c>
      <c r="H33" s="2">
        <v>634847562.74698889</v>
      </c>
      <c r="I33" s="3">
        <f>CryptoTable[[#This Row],[volume_24h]]/CryptoTable[[#This Row],[circulating_supply]]</f>
        <v>0.43370188494986844</v>
      </c>
      <c r="J33" s="3">
        <f>RANK(CryptoTable[[#This Row],[market_cap]],CryptoTable[market_cap],0)</f>
        <v>32</v>
      </c>
      <c r="K33" s="3" t="str">
        <f t="shared" si="0"/>
        <v>2-10</v>
      </c>
      <c r="L33" s="3">
        <f t="shared" si="1"/>
        <v>4.2669014349164422</v>
      </c>
      <c r="M33" s="3">
        <f>C33-CryptoTable[[#This Row],[Previous_Price]]</f>
        <v>-5.7818254912213263E-2</v>
      </c>
      <c r="N33" s="3" t="str">
        <f t="shared" si="2"/>
        <v>&lt;10</v>
      </c>
      <c r="O33" s="3" t="str">
        <f t="shared" si="3"/>
        <v>0-50</v>
      </c>
      <c r="P33" s="3" t="str">
        <f t="shared" si="4"/>
        <v>Others</v>
      </c>
      <c r="Q33" s="3" t="str">
        <f t="shared" si="5"/>
        <v>Yes</v>
      </c>
      <c r="R33" s="3" t="str">
        <f t="shared" si="6"/>
        <v>&gt; 50</v>
      </c>
      <c r="S33" s="3">
        <f t="shared" si="7"/>
        <v>1102324586.5389926</v>
      </c>
    </row>
    <row r="34" spans="1:19" x14ac:dyDescent="0.35">
      <c r="A34" s="3" t="s">
        <v>69</v>
      </c>
      <c r="B34" s="3" t="s">
        <v>70</v>
      </c>
      <c r="C34" s="3">
        <v>0.78107618220036834</v>
      </c>
      <c r="D34" s="3">
        <v>-2.7072445699999999</v>
      </c>
      <c r="E34" s="3">
        <v>-13.44298972</v>
      </c>
      <c r="F34" s="3">
        <v>2540797123.888206</v>
      </c>
      <c r="G34" s="3">
        <v>94181021.624318466</v>
      </c>
      <c r="H34" s="2">
        <v>3252944055.6368408</v>
      </c>
      <c r="I34" s="3">
        <f>CryptoTable[[#This Row],[volume_24h]]/CryptoTable[[#This Row],[circulating_supply]]</f>
        <v>2.8952548833761083E-2</v>
      </c>
      <c r="J34" s="3">
        <f>RANK(CryptoTable[[#This Row],[market_cap]],CryptoTable[market_cap],0)</f>
        <v>33</v>
      </c>
      <c r="K34" s="3" t="str">
        <f t="shared" ref="K34:K65" si="8">IF(C34&lt;=0.5,"0-0.5",
IF(C34&lt;=1,"0.5-1",
IF(C34&lt;=2,"1-2",
IF(C34&lt;=10,"2-10",
IF(C34&lt;=100,"10-100",
IF(C34&lt;=10000,"100-10000","10000+"))))))</f>
        <v>0.5-1</v>
      </c>
      <c r="L34" s="3">
        <f t="shared" ref="L34:L65" si="9">C34/(1+D34/100)</f>
        <v>0.80281021824110588</v>
      </c>
      <c r="M34" s="3">
        <f>C34-CryptoTable[[#This Row],[Previous_Price]]</f>
        <v>-2.1734036040737537E-2</v>
      </c>
      <c r="N34" s="3" t="str">
        <f t="shared" ref="N34:N65" si="10">IF(C34&gt;=10,"&gt;=10","&lt;10")</f>
        <v>&lt;10</v>
      </c>
      <c r="O34" s="3" t="str">
        <f t="shared" ref="O34:O65" si="11">IF(C34&lt;=50,"0-50","&gt;50")</f>
        <v>0-50</v>
      </c>
      <c r="P34" s="3" t="str">
        <f t="shared" ref="P34:P65" si="12">IF(J34&lt;=5,A34,"Others")</f>
        <v>Others</v>
      </c>
      <c r="Q34" s="3" t="str">
        <f t="shared" ref="Q34:Q65" si="13">IF(OR(
LEFT(A34,1)="A",
LEFT(A34,1)="E",
LEFT(A34,1)="I",
LEFT(A34,1)="O",
LEFT(A34,1)="U",
LEFT(A34,1)="B",
LEFT(A34,1)="C",
LEFT(A34,1)="D"
),
"Yes","No")</f>
        <v>No</v>
      </c>
      <c r="R34" s="3" t="str">
        <f t="shared" ref="R34:R65" si="14">IF(B34&lt;=0.05,"0 - 0.05",
IF(B34&lt;=0.5,"0.05 - 0.5",
IF(B34&lt;=5,"0.5 - 5",
IF(B34&lt;=50,"5 - 50",
"&gt; 50"))))</f>
        <v>&gt; 50</v>
      </c>
      <c r="S34" s="3">
        <f t="shared" ref="S34:S65" si="15">AVERAGE(D34,F34,H34)</f>
        <v>1931247058.9392674</v>
      </c>
    </row>
    <row r="35" spans="1:19" x14ac:dyDescent="0.35">
      <c r="A35" s="3" t="s">
        <v>71</v>
      </c>
      <c r="B35" s="3" t="s">
        <v>72</v>
      </c>
      <c r="C35" s="3">
        <v>5149.8853435497267</v>
      </c>
      <c r="D35" s="3">
        <v>-0.76892340000000003</v>
      </c>
      <c r="E35" s="3">
        <v>-7.6446363699999997</v>
      </c>
      <c r="F35" s="3">
        <v>2490781400.2866549</v>
      </c>
      <c r="G35" s="3">
        <v>1956793815.1409867</v>
      </c>
      <c r="H35" s="2">
        <v>483657.64169999998</v>
      </c>
      <c r="I35" s="3">
        <f>CryptoTable[[#This Row],[volume_24h]]/CryptoTable[[#This Row],[circulating_supply]]</f>
        <v>4045.8242492832028</v>
      </c>
      <c r="J35" s="3">
        <f>RANK(CryptoTable[[#This Row],[market_cap]],CryptoTable[market_cap],0)</f>
        <v>34</v>
      </c>
      <c r="K35" s="3" t="str">
        <f t="shared" si="8"/>
        <v>100-10000</v>
      </c>
      <c r="L35" s="3">
        <f t="shared" si="9"/>
        <v>5189.7908598824242</v>
      </c>
      <c r="M35" s="3">
        <f>C35-CryptoTable[[#This Row],[Previous_Price]]</f>
        <v>-39.905516332697516</v>
      </c>
      <c r="N35" s="3" t="str">
        <f t="shared" si="10"/>
        <v>&gt;=10</v>
      </c>
      <c r="O35" s="3" t="str">
        <f t="shared" si="11"/>
        <v>&gt;50</v>
      </c>
      <c r="P35" s="3" t="str">
        <f t="shared" si="12"/>
        <v>Others</v>
      </c>
      <c r="Q35" s="3" t="str">
        <f t="shared" si="13"/>
        <v>No</v>
      </c>
      <c r="R35" s="3" t="str">
        <f t="shared" si="14"/>
        <v>&gt; 50</v>
      </c>
      <c r="S35" s="3">
        <f t="shared" si="15"/>
        <v>830421685.71981049</v>
      </c>
    </row>
    <row r="36" spans="1:19" x14ac:dyDescent="0.35">
      <c r="A36" s="3" t="s">
        <v>73</v>
      </c>
      <c r="B36" s="3" t="s">
        <v>74</v>
      </c>
      <c r="C36" s="3">
        <v>3.4303599188001401</v>
      </c>
      <c r="D36" s="3">
        <v>-2.1156359999999999E-2</v>
      </c>
      <c r="E36" s="3">
        <v>-3.1084016000000001</v>
      </c>
      <c r="F36" s="3">
        <v>2397894413.8811007</v>
      </c>
      <c r="G36" s="3">
        <v>28492881.905494541</v>
      </c>
      <c r="H36" s="2">
        <v>699021231.19483864</v>
      </c>
      <c r="I36" s="3">
        <f>CryptoTable[[#This Row],[volume_24h]]/CryptoTable[[#This Row],[circulating_supply]]</f>
        <v>4.0761110870397445E-2</v>
      </c>
      <c r="J36" s="3">
        <f>RANK(CryptoTable[[#This Row],[market_cap]],CryptoTable[market_cap],0)</f>
        <v>35</v>
      </c>
      <c r="K36" s="3" t="str">
        <f t="shared" si="8"/>
        <v>2-10</v>
      </c>
      <c r="L36" s="3">
        <f t="shared" si="9"/>
        <v>3.4310858116663652</v>
      </c>
      <c r="M36" s="3">
        <f>C36-CryptoTable[[#This Row],[Previous_Price]]</f>
        <v>-7.258928662250419E-4</v>
      </c>
      <c r="N36" s="3" t="str">
        <f t="shared" si="10"/>
        <v>&lt;10</v>
      </c>
      <c r="O36" s="3" t="str">
        <f t="shared" si="11"/>
        <v>0-50</v>
      </c>
      <c r="P36" s="3" t="str">
        <f t="shared" si="12"/>
        <v>Others</v>
      </c>
      <c r="Q36" s="3" t="str">
        <f t="shared" si="13"/>
        <v>Yes</v>
      </c>
      <c r="R36" s="3" t="str">
        <f t="shared" si="14"/>
        <v>&gt; 50</v>
      </c>
      <c r="S36" s="3">
        <f t="shared" si="15"/>
        <v>1032305215.018261</v>
      </c>
    </row>
    <row r="37" spans="1:19" x14ac:dyDescent="0.35">
      <c r="A37" s="3" t="s">
        <v>75</v>
      </c>
      <c r="B37" s="3" t="s">
        <v>76</v>
      </c>
      <c r="C37" s="3">
        <v>213.78995970326685</v>
      </c>
      <c r="D37" s="3">
        <v>-1.0486287299999999</v>
      </c>
      <c r="E37" s="3">
        <v>-6.96103001</v>
      </c>
      <c r="F37" s="3">
        <v>2271409289.2741308</v>
      </c>
      <c r="G37" s="3">
        <v>167914941.1601283</v>
      </c>
      <c r="H37" s="2">
        <v>10624490.001433039</v>
      </c>
      <c r="I37" s="3">
        <f>CryptoTable[[#This Row],[volume_24h]]/CryptoTable[[#This Row],[circulating_supply]]</f>
        <v>15.804517782734024</v>
      </c>
      <c r="J37" s="3">
        <f>RANK(CryptoTable[[#This Row],[market_cap]],CryptoTable[market_cap],0)</f>
        <v>36</v>
      </c>
      <c r="K37" s="3" t="str">
        <f t="shared" si="8"/>
        <v>100-10000</v>
      </c>
      <c r="L37" s="3">
        <f t="shared" si="9"/>
        <v>216.05558059414537</v>
      </c>
      <c r="M37" s="3">
        <f>C37-CryptoTable[[#This Row],[Previous_Price]]</f>
        <v>-2.2656208908785231</v>
      </c>
      <c r="N37" s="3" t="str">
        <f t="shared" si="10"/>
        <v>&gt;=10</v>
      </c>
      <c r="O37" s="3" t="str">
        <f t="shared" si="11"/>
        <v>&gt;50</v>
      </c>
      <c r="P37" s="3" t="str">
        <f t="shared" si="12"/>
        <v>Others</v>
      </c>
      <c r="Q37" s="3" t="str">
        <f t="shared" si="13"/>
        <v>Yes</v>
      </c>
      <c r="R37" s="3" t="str">
        <f t="shared" si="14"/>
        <v>&gt; 50</v>
      </c>
      <c r="S37" s="3">
        <f t="shared" si="15"/>
        <v>760677926.07564497</v>
      </c>
    </row>
    <row r="38" spans="1:19" x14ac:dyDescent="0.35">
      <c r="A38" s="3" t="s">
        <v>77</v>
      </c>
      <c r="B38" s="3" t="s">
        <v>78</v>
      </c>
      <c r="C38" s="3">
        <v>5168.855971176793</v>
      </c>
      <c r="D38" s="3">
        <v>-0.80569873000000003</v>
      </c>
      <c r="E38" s="3">
        <v>-7.6664973400000003</v>
      </c>
      <c r="F38" s="3">
        <v>2196963104.0052414</v>
      </c>
      <c r="G38" s="3">
        <v>1787685363.5613899</v>
      </c>
      <c r="H38" s="2">
        <v>425038.56099999999</v>
      </c>
      <c r="I38" s="3">
        <f>CryptoTable[[#This Row],[volume_24h]]/CryptoTable[[#This Row],[circulating_supply]]</f>
        <v>4205.9368904210787</v>
      </c>
      <c r="J38" s="3">
        <f>RANK(CryptoTable[[#This Row],[market_cap]],CryptoTable[market_cap],0)</f>
        <v>37</v>
      </c>
      <c r="K38" s="3" t="str">
        <f t="shared" si="8"/>
        <v>100-10000</v>
      </c>
      <c r="L38" s="3">
        <f t="shared" si="9"/>
        <v>5210.839639978436</v>
      </c>
      <c r="M38" s="3">
        <f>C38-CryptoTable[[#This Row],[Previous_Price]]</f>
        <v>-41.983668801643034</v>
      </c>
      <c r="N38" s="3" t="str">
        <f t="shared" si="10"/>
        <v>&gt;=10</v>
      </c>
      <c r="O38" s="3" t="str">
        <f t="shared" si="11"/>
        <v>&gt;50</v>
      </c>
      <c r="P38" s="3" t="str">
        <f t="shared" si="12"/>
        <v>Others</v>
      </c>
      <c r="Q38" s="3" t="str">
        <f t="shared" si="13"/>
        <v>No</v>
      </c>
      <c r="R38" s="3" t="str">
        <f t="shared" si="14"/>
        <v>&gt; 50</v>
      </c>
      <c r="S38" s="3">
        <f t="shared" si="15"/>
        <v>732462713.9201808</v>
      </c>
    </row>
    <row r="39" spans="1:19" x14ac:dyDescent="0.35">
      <c r="A39" s="3" t="s">
        <v>79</v>
      </c>
      <c r="B39" s="3" t="s">
        <v>80</v>
      </c>
      <c r="C39" s="3">
        <v>140.69799000604857</v>
      </c>
      <c r="D39" s="3">
        <v>-1.6798879900000001</v>
      </c>
      <c r="E39" s="3">
        <v>-10.182835860000001</v>
      </c>
      <c r="F39" s="3">
        <v>2155566141.4688606</v>
      </c>
      <c r="G39" s="3">
        <v>470785042.59443814</v>
      </c>
      <c r="H39" s="2">
        <v>15320518.37681685</v>
      </c>
      <c r="I39" s="3">
        <f>CryptoTable[[#This Row],[volume_24h]]/CryptoTable[[#This Row],[circulating_supply]]</f>
        <v>30.72905439719549</v>
      </c>
      <c r="J39" s="3">
        <f>RANK(CryptoTable[[#This Row],[market_cap]],CryptoTable[market_cap],0)</f>
        <v>38</v>
      </c>
      <c r="K39" s="3" t="str">
        <f t="shared" si="8"/>
        <v>100-10000</v>
      </c>
      <c r="L39" s="3">
        <f t="shared" si="9"/>
        <v>143.10194234902659</v>
      </c>
      <c r="M39" s="3">
        <f>C39-CryptoTable[[#This Row],[Previous_Price]]</f>
        <v>-2.4039523429780161</v>
      </c>
      <c r="N39" s="3" t="str">
        <f t="shared" si="10"/>
        <v>&gt;=10</v>
      </c>
      <c r="O39" s="3" t="str">
        <f t="shared" si="11"/>
        <v>&gt;50</v>
      </c>
      <c r="P39" s="3" t="str">
        <f t="shared" si="12"/>
        <v>Others</v>
      </c>
      <c r="Q39" s="3" t="str">
        <f t="shared" si="13"/>
        <v>Yes</v>
      </c>
      <c r="R39" s="3" t="str">
        <f t="shared" si="14"/>
        <v>&gt; 50</v>
      </c>
      <c r="S39" s="3">
        <f t="shared" si="15"/>
        <v>723628886.05526316</v>
      </c>
    </row>
    <row r="40" spans="1:19" x14ac:dyDescent="0.35">
      <c r="A40" s="3" t="s">
        <v>81</v>
      </c>
      <c r="B40" s="3" t="s">
        <v>81</v>
      </c>
      <c r="C40" s="3">
        <v>99.358695724541505</v>
      </c>
      <c r="D40" s="3">
        <v>-0.67286239000000003</v>
      </c>
      <c r="E40" s="3">
        <v>-4.8046179799999997</v>
      </c>
      <c r="F40" s="3">
        <v>2086532610.2153716</v>
      </c>
      <c r="G40" s="3">
        <v>35824232.937679946</v>
      </c>
      <c r="H40" s="2">
        <v>21000000</v>
      </c>
      <c r="I40" s="3">
        <f>CryptoTable[[#This Row],[volume_24h]]/CryptoTable[[#This Row],[circulating_supply]]</f>
        <v>1.7059158541752355</v>
      </c>
      <c r="J40" s="3">
        <f>RANK(CryptoTable[[#This Row],[market_cap]],CryptoTable[market_cap],0)</f>
        <v>39</v>
      </c>
      <c r="K40" s="3" t="str">
        <f t="shared" si="8"/>
        <v>10-100</v>
      </c>
      <c r="L40" s="3">
        <f t="shared" si="9"/>
        <v>100.03177189567811</v>
      </c>
      <c r="M40" s="3">
        <f>C40-CryptoTable[[#This Row],[Previous_Price]]</f>
        <v>-0.67307617113660001</v>
      </c>
      <c r="N40" s="3" t="str">
        <f t="shared" si="10"/>
        <v>&gt;=10</v>
      </c>
      <c r="O40" s="3" t="str">
        <f t="shared" si="11"/>
        <v>&gt;50</v>
      </c>
      <c r="P40" s="3" t="str">
        <f t="shared" si="12"/>
        <v>Others</v>
      </c>
      <c r="Q40" s="3" t="str">
        <f t="shared" si="13"/>
        <v>Yes</v>
      </c>
      <c r="R40" s="3" t="str">
        <f t="shared" si="14"/>
        <v>&gt; 50</v>
      </c>
      <c r="S40" s="3">
        <f t="shared" si="15"/>
        <v>702510869.84750307</v>
      </c>
    </row>
    <row r="41" spans="1:19" x14ac:dyDescent="0.35">
      <c r="A41" s="3" t="s">
        <v>82</v>
      </c>
      <c r="B41" s="3" t="s">
        <v>83</v>
      </c>
      <c r="C41" s="3">
        <v>1.4847835257394146</v>
      </c>
      <c r="D41" s="3">
        <v>-0.10930463</v>
      </c>
      <c r="E41" s="3">
        <v>-4.03491438</v>
      </c>
      <c r="F41" s="3">
        <v>1874762636.6414285</v>
      </c>
      <c r="G41" s="3">
        <v>12245322.161760479</v>
      </c>
      <c r="H41" s="2">
        <v>1262650483.4823017</v>
      </c>
      <c r="I41" s="3">
        <f>CryptoTable[[#This Row],[volume_24h]]/CryptoTable[[#This Row],[circulating_supply]]</f>
        <v>9.6981091140825749E-3</v>
      </c>
      <c r="J41" s="3">
        <f>RANK(CryptoTable[[#This Row],[market_cap]],CryptoTable[market_cap],0)</f>
        <v>40</v>
      </c>
      <c r="K41" s="3" t="str">
        <f t="shared" si="8"/>
        <v>1-2</v>
      </c>
      <c r="L41" s="3">
        <f t="shared" si="9"/>
        <v>1.4864082387650863</v>
      </c>
      <c r="M41" s="3">
        <f>C41-CryptoTable[[#This Row],[Previous_Price]]</f>
        <v>-1.6247130256716869E-3</v>
      </c>
      <c r="N41" s="3" t="str">
        <f t="shared" si="10"/>
        <v>&lt;10</v>
      </c>
      <c r="O41" s="3" t="str">
        <f t="shared" si="11"/>
        <v>0-50</v>
      </c>
      <c r="P41" s="3" t="str">
        <f t="shared" si="12"/>
        <v>Others</v>
      </c>
      <c r="Q41" s="3" t="str">
        <f t="shared" si="13"/>
        <v>No</v>
      </c>
      <c r="R41" s="3" t="str">
        <f t="shared" si="14"/>
        <v>&gt; 50</v>
      </c>
      <c r="S41" s="3">
        <f t="shared" si="15"/>
        <v>1045804373.3381418</v>
      </c>
    </row>
    <row r="42" spans="1:19" x14ac:dyDescent="0.35">
      <c r="A42" s="3" t="s">
        <v>84</v>
      </c>
      <c r="B42" s="3" t="s">
        <v>85</v>
      </c>
      <c r="C42" s="3">
        <v>4.5209459920358602E-6</v>
      </c>
      <c r="D42" s="3">
        <v>-1.61231689</v>
      </c>
      <c r="E42" s="3">
        <v>-6.6749113299999996</v>
      </c>
      <c r="F42" s="3">
        <v>1870643137.2537463</v>
      </c>
      <c r="G42" s="3">
        <v>507954787.61569721</v>
      </c>
      <c r="H42" s="2">
        <v>413772502602129.81</v>
      </c>
      <c r="I42" s="3">
        <f>CryptoTable[[#This Row],[volume_24h]]/CryptoTable[[#This Row],[circulating_supply]]</f>
        <v>1.2276185208569309E-6</v>
      </c>
      <c r="J42" s="3">
        <f>RANK(CryptoTable[[#This Row],[market_cap]],CryptoTable[market_cap],0)</f>
        <v>41</v>
      </c>
      <c r="K42" s="3" t="str">
        <f t="shared" si="8"/>
        <v>0-0.5</v>
      </c>
      <c r="L42" s="3">
        <f t="shared" si="9"/>
        <v>4.5950324767596409E-6</v>
      </c>
      <c r="M42" s="3">
        <f>C42-CryptoTable[[#This Row],[Previous_Price]]</f>
        <v>-7.4086484723780708E-8</v>
      </c>
      <c r="N42" s="3" t="str">
        <f t="shared" si="10"/>
        <v>&lt;10</v>
      </c>
      <c r="O42" s="3" t="str">
        <f t="shared" si="11"/>
        <v>0-50</v>
      </c>
      <c r="P42" s="3" t="str">
        <f t="shared" si="12"/>
        <v>Others</v>
      </c>
      <c r="Q42" s="3" t="str">
        <f t="shared" si="13"/>
        <v>No</v>
      </c>
      <c r="R42" s="3" t="str">
        <f t="shared" si="14"/>
        <v>&gt; 50</v>
      </c>
      <c r="S42" s="3">
        <f t="shared" si="15"/>
        <v>137924791081755.14</v>
      </c>
    </row>
    <row r="43" spans="1:19" x14ac:dyDescent="0.35">
      <c r="A43" s="3" t="s">
        <v>86</v>
      </c>
      <c r="B43" s="3" t="s">
        <v>87</v>
      </c>
      <c r="C43" s="3">
        <v>1.3086143987134069</v>
      </c>
      <c r="D43" s="3">
        <v>-1.34398708</v>
      </c>
      <c r="E43" s="3">
        <v>-9.7574344899999996</v>
      </c>
      <c r="F43" s="3">
        <v>1683456047.9740314</v>
      </c>
      <c r="G43" s="3">
        <v>222309673.91020024</v>
      </c>
      <c r="H43" s="2">
        <v>1286441636</v>
      </c>
      <c r="I43" s="3">
        <f>CryptoTable[[#This Row],[volume_24h]]/CryptoTable[[#This Row],[circulating_supply]]</f>
        <v>0.17280976275102483</v>
      </c>
      <c r="J43" s="3">
        <f>RANK(CryptoTable[[#This Row],[market_cap]],CryptoTable[market_cap],0)</f>
        <v>42</v>
      </c>
      <c r="K43" s="3" t="str">
        <f t="shared" si="8"/>
        <v>1-2</v>
      </c>
      <c r="L43" s="3">
        <f t="shared" si="9"/>
        <v>1.3264416024744079</v>
      </c>
      <c r="M43" s="3">
        <f>C43-CryptoTable[[#This Row],[Previous_Price]]</f>
        <v>-1.7827203761000998E-2</v>
      </c>
      <c r="N43" s="3" t="str">
        <f t="shared" si="10"/>
        <v>&lt;10</v>
      </c>
      <c r="O43" s="3" t="str">
        <f t="shared" si="11"/>
        <v>0-50</v>
      </c>
      <c r="P43" s="3" t="str">
        <f t="shared" si="12"/>
        <v>Others</v>
      </c>
      <c r="Q43" s="3" t="str">
        <f t="shared" si="13"/>
        <v>No</v>
      </c>
      <c r="R43" s="3" t="str">
        <f t="shared" si="14"/>
        <v>&gt; 50</v>
      </c>
      <c r="S43" s="3">
        <f t="shared" si="15"/>
        <v>989965894.21001482</v>
      </c>
    </row>
    <row r="44" spans="1:19" x14ac:dyDescent="0.35">
      <c r="A44" s="3" t="s">
        <v>88</v>
      </c>
      <c r="B44" s="3" t="s">
        <v>89</v>
      </c>
      <c r="C44" s="3">
        <v>2.9804160900312664</v>
      </c>
      <c r="D44" s="3">
        <v>-0.67203734000000004</v>
      </c>
      <c r="E44" s="3">
        <v>-5.1562595</v>
      </c>
      <c r="F44" s="3">
        <v>1632203421.1220942</v>
      </c>
      <c r="G44" s="3">
        <v>104456893.49435864</v>
      </c>
      <c r="H44" s="2">
        <v>547642802.82253182</v>
      </c>
      <c r="I44" s="3">
        <f>CryptoTable[[#This Row],[volume_24h]]/CryptoTable[[#This Row],[circulating_supply]]</f>
        <v>0.19073909664473171</v>
      </c>
      <c r="J44" s="3">
        <f>RANK(CryptoTable[[#This Row],[market_cap]],CryptoTable[market_cap],0)</f>
        <v>43</v>
      </c>
      <c r="K44" s="3" t="str">
        <f t="shared" si="8"/>
        <v>2-10</v>
      </c>
      <c r="L44" s="3">
        <f t="shared" si="9"/>
        <v>3.0005811155447155</v>
      </c>
      <c r="M44" s="3">
        <f>C44-CryptoTable[[#This Row],[Previous_Price]]</f>
        <v>-2.016502551344912E-2</v>
      </c>
      <c r="N44" s="3" t="str">
        <f t="shared" si="10"/>
        <v>&lt;10</v>
      </c>
      <c r="O44" s="3" t="str">
        <f t="shared" si="11"/>
        <v>0-50</v>
      </c>
      <c r="P44" s="3" t="str">
        <f t="shared" si="12"/>
        <v>Others</v>
      </c>
      <c r="Q44" s="3" t="str">
        <f t="shared" si="13"/>
        <v>Yes</v>
      </c>
      <c r="R44" s="3" t="str">
        <f t="shared" si="14"/>
        <v>&gt; 50</v>
      </c>
      <c r="S44" s="3">
        <f t="shared" si="15"/>
        <v>726615407.75752962</v>
      </c>
    </row>
    <row r="45" spans="1:19" x14ac:dyDescent="0.35">
      <c r="A45" s="3" t="s">
        <v>90</v>
      </c>
      <c r="B45" s="3" t="s">
        <v>91</v>
      </c>
      <c r="C45" s="3">
        <v>10.504588747439055</v>
      </c>
      <c r="D45" s="3">
        <v>-0.92539811999999999</v>
      </c>
      <c r="E45" s="3">
        <v>-6.96264678</v>
      </c>
      <c r="F45" s="3">
        <v>1631647973.9246309</v>
      </c>
      <c r="G45" s="3">
        <v>105160099.06273004</v>
      </c>
      <c r="H45" s="2">
        <v>155327163.50484595</v>
      </c>
      <c r="I45" s="3">
        <f>CryptoTable[[#This Row],[volume_24h]]/CryptoTable[[#This Row],[circulating_supply]]</f>
        <v>0.67702323721020774</v>
      </c>
      <c r="J45" s="3">
        <f>RANK(CryptoTable[[#This Row],[market_cap]],CryptoTable[market_cap],0)</f>
        <v>44</v>
      </c>
      <c r="K45" s="3" t="str">
        <f t="shared" si="8"/>
        <v>10-100</v>
      </c>
      <c r="L45" s="3">
        <f t="shared" si="9"/>
        <v>10.602705989333474</v>
      </c>
      <c r="M45" s="3">
        <f>C45-CryptoTable[[#This Row],[Previous_Price]]</f>
        <v>-9.8117241894419394E-2</v>
      </c>
      <c r="N45" s="3" t="str">
        <f t="shared" si="10"/>
        <v>&gt;=10</v>
      </c>
      <c r="O45" s="3" t="str">
        <f t="shared" si="11"/>
        <v>0-50</v>
      </c>
      <c r="P45" s="3" t="str">
        <f t="shared" si="12"/>
        <v>Others</v>
      </c>
      <c r="Q45" s="3" t="str">
        <f t="shared" si="13"/>
        <v>Yes</v>
      </c>
      <c r="R45" s="3" t="str">
        <f t="shared" si="14"/>
        <v>&gt; 50</v>
      </c>
      <c r="S45" s="3">
        <f t="shared" si="15"/>
        <v>595658378.83469284</v>
      </c>
    </row>
    <row r="46" spans="1:19" x14ac:dyDescent="0.35">
      <c r="A46" s="3" t="s">
        <v>92</v>
      </c>
      <c r="B46" s="3" t="s">
        <v>93</v>
      </c>
      <c r="C46" s="3">
        <v>0.99985786542117483</v>
      </c>
      <c r="D46" s="3">
        <v>2.8679679999999999E-2</v>
      </c>
      <c r="E46" s="3">
        <v>7.4970999999999996E-3</v>
      </c>
      <c r="F46" s="3">
        <v>1593789390.8664167</v>
      </c>
      <c r="G46" s="3">
        <v>51481309.292864174</v>
      </c>
      <c r="H46" s="2">
        <v>1594015955.652914</v>
      </c>
      <c r="I46" s="3">
        <f>CryptoTable[[#This Row],[volume_24h]]/CryptoTable[[#This Row],[circulating_supply]]</f>
        <v>3.2296608519064206E-2</v>
      </c>
      <c r="J46" s="3">
        <f>RANK(CryptoTable[[#This Row],[market_cap]],CryptoTable[market_cap],0)</f>
        <v>45</v>
      </c>
      <c r="K46" s="3" t="str">
        <f t="shared" si="8"/>
        <v>0.5-1</v>
      </c>
      <c r="L46" s="3">
        <f t="shared" si="9"/>
        <v>0.99957119160205121</v>
      </c>
      <c r="M46" s="3">
        <f>C46-CryptoTable[[#This Row],[Previous_Price]]</f>
        <v>2.8667381912361733E-4</v>
      </c>
      <c r="N46" s="3" t="str">
        <f t="shared" si="10"/>
        <v>&lt;10</v>
      </c>
      <c r="O46" s="3" t="str">
        <f t="shared" si="11"/>
        <v>0-50</v>
      </c>
      <c r="P46" s="3" t="str">
        <f t="shared" si="12"/>
        <v>Others</v>
      </c>
      <c r="Q46" s="3" t="str">
        <f t="shared" si="13"/>
        <v>No</v>
      </c>
      <c r="R46" s="3" t="str">
        <f t="shared" si="14"/>
        <v>&gt; 50</v>
      </c>
      <c r="S46" s="3">
        <f t="shared" si="15"/>
        <v>1062601782.1826701</v>
      </c>
    </row>
    <row r="47" spans="1:19" x14ac:dyDescent="0.35">
      <c r="A47" s="3" t="s">
        <v>94</v>
      </c>
      <c r="B47" s="3" t="s">
        <v>95</v>
      </c>
      <c r="C47" s="3">
        <v>0.61355720314995665</v>
      </c>
      <c r="D47" s="3">
        <v>-0.29413984999999998</v>
      </c>
      <c r="E47" s="3">
        <v>-6.1743766500000001</v>
      </c>
      <c r="F47" s="3">
        <v>1579684753.8101299</v>
      </c>
      <c r="G47" s="3">
        <v>201974074.46041191</v>
      </c>
      <c r="H47" s="2">
        <v>2574633213.8228464</v>
      </c>
      <c r="I47" s="3">
        <f>CryptoTable[[#This Row],[volume_24h]]/CryptoTable[[#This Row],[circulating_supply]]</f>
        <v>7.844770795934787E-2</v>
      </c>
      <c r="J47" s="3">
        <f>RANK(CryptoTable[[#This Row],[market_cap]],CryptoTable[market_cap],0)</f>
        <v>46</v>
      </c>
      <c r="K47" s="3" t="str">
        <f t="shared" si="8"/>
        <v>0.5-1</v>
      </c>
      <c r="L47" s="3">
        <f t="shared" si="9"/>
        <v>0.61536724343675064</v>
      </c>
      <c r="M47" s="3">
        <f>C47-CryptoTable[[#This Row],[Previous_Price]]</f>
        <v>-1.8100402867939902E-3</v>
      </c>
      <c r="N47" s="3" t="str">
        <f t="shared" si="10"/>
        <v>&lt;10</v>
      </c>
      <c r="O47" s="3" t="str">
        <f t="shared" si="11"/>
        <v>0-50</v>
      </c>
      <c r="P47" s="3" t="str">
        <f t="shared" si="12"/>
        <v>Others</v>
      </c>
      <c r="Q47" s="3" t="str">
        <f t="shared" si="13"/>
        <v>Yes</v>
      </c>
      <c r="R47" s="3" t="str">
        <f t="shared" si="14"/>
        <v>&gt; 50</v>
      </c>
      <c r="S47" s="3">
        <f t="shared" si="15"/>
        <v>1384772655.7796123</v>
      </c>
    </row>
    <row r="48" spans="1:19" x14ac:dyDescent="0.35">
      <c r="A48" s="3" t="s">
        <v>96</v>
      </c>
      <c r="B48" s="3" t="s">
        <v>97</v>
      </c>
      <c r="C48" s="3">
        <v>0.30571183848477584</v>
      </c>
      <c r="D48" s="3">
        <v>-1.46811162</v>
      </c>
      <c r="E48" s="3">
        <v>-8.6745746300000004</v>
      </c>
      <c r="F48" s="3">
        <v>1488612024.2846332</v>
      </c>
      <c r="G48" s="3">
        <v>99143076.44520542</v>
      </c>
      <c r="H48" s="2">
        <v>4869330647</v>
      </c>
      <c r="I48" s="3">
        <f>CryptoTable[[#This Row],[volume_24h]]/CryptoTable[[#This Row],[circulating_supply]]</f>
        <v>2.0360719703084361E-2</v>
      </c>
      <c r="J48" s="3">
        <f>RANK(CryptoTable[[#This Row],[market_cap]],CryptoTable[market_cap],0)</f>
        <v>47</v>
      </c>
      <c r="K48" s="3" t="str">
        <f t="shared" si="8"/>
        <v>0-0.5</v>
      </c>
      <c r="L48" s="3">
        <f t="shared" si="9"/>
        <v>0.31026690293984993</v>
      </c>
      <c r="M48" s="3">
        <f>C48-CryptoTable[[#This Row],[Previous_Price]]</f>
        <v>-4.5550644550740871E-3</v>
      </c>
      <c r="N48" s="3" t="str">
        <f t="shared" si="10"/>
        <v>&lt;10</v>
      </c>
      <c r="O48" s="3" t="str">
        <f t="shared" si="11"/>
        <v>0-50</v>
      </c>
      <c r="P48" s="3" t="str">
        <f t="shared" si="12"/>
        <v>Others</v>
      </c>
      <c r="Q48" s="3" t="str">
        <f t="shared" si="13"/>
        <v>Yes</v>
      </c>
      <c r="R48" s="3" t="str">
        <f t="shared" si="14"/>
        <v>&gt; 50</v>
      </c>
      <c r="S48" s="3">
        <f t="shared" si="15"/>
        <v>2119314223.2721739</v>
      </c>
    </row>
    <row r="49" spans="1:19" x14ac:dyDescent="0.35">
      <c r="A49" s="3" t="s">
        <v>98</v>
      </c>
      <c r="B49" s="3" t="s">
        <v>99</v>
      </c>
      <c r="C49" s="3">
        <v>6.3956350843256682E-2</v>
      </c>
      <c r="D49" s="3">
        <v>-0.30338325999999999</v>
      </c>
      <c r="E49" s="3">
        <v>-3.14754472</v>
      </c>
      <c r="F49" s="3">
        <v>1470251450.6176364</v>
      </c>
      <c r="G49" s="3">
        <v>27781280.890004009</v>
      </c>
      <c r="H49" s="2">
        <v>22988357391.135525</v>
      </c>
      <c r="I49" s="3">
        <f>CryptoTable[[#This Row],[volume_24h]]/CryptoTable[[#This Row],[circulating_supply]]</f>
        <v>1.2084935177106943E-3</v>
      </c>
      <c r="J49" s="3">
        <f>RANK(CryptoTable[[#This Row],[market_cap]],CryptoTable[market_cap],0)</f>
        <v>48</v>
      </c>
      <c r="K49" s="3" t="str">
        <f t="shared" si="8"/>
        <v>0-0.5</v>
      </c>
      <c r="L49" s="3">
        <f t="shared" si="9"/>
        <v>6.4150974159984997E-2</v>
      </c>
      <c r="M49" s="3">
        <f>C49-CryptoTable[[#This Row],[Previous_Price]]</f>
        <v>-1.9462331672831512E-4</v>
      </c>
      <c r="N49" s="3" t="str">
        <f t="shared" si="10"/>
        <v>&lt;10</v>
      </c>
      <c r="O49" s="3" t="str">
        <f t="shared" si="11"/>
        <v>0-50</v>
      </c>
      <c r="P49" s="3" t="str">
        <f t="shared" si="12"/>
        <v>Others</v>
      </c>
      <c r="Q49" s="3" t="str">
        <f t="shared" si="13"/>
        <v>No</v>
      </c>
      <c r="R49" s="3" t="str">
        <f t="shared" si="14"/>
        <v>&gt; 50</v>
      </c>
      <c r="S49" s="3">
        <f t="shared" si="15"/>
        <v>8152869613.8165932</v>
      </c>
    </row>
    <row r="50" spans="1:19" x14ac:dyDescent="0.35">
      <c r="A50" s="3" t="s">
        <v>100</v>
      </c>
      <c r="B50" s="3" t="s">
        <v>101</v>
      </c>
      <c r="C50" s="3">
        <v>0.16428946276544718</v>
      </c>
      <c r="D50" s="3">
        <v>0.39084486000000002</v>
      </c>
      <c r="E50" s="3">
        <v>-1.73435735</v>
      </c>
      <c r="F50" s="3">
        <v>1400034266.6203713</v>
      </c>
      <c r="G50" s="3">
        <v>18561688.217042089</v>
      </c>
      <c r="H50" s="2">
        <v>8521753270.4405556</v>
      </c>
      <c r="I50" s="3">
        <f>CryptoTable[[#This Row],[volume_24h]]/CryptoTable[[#This Row],[circulating_supply]]</f>
        <v>2.1781536765945924E-3</v>
      </c>
      <c r="J50" s="3">
        <f>RANK(CryptoTable[[#This Row],[market_cap]],CryptoTable[market_cap],0)</f>
        <v>49</v>
      </c>
      <c r="K50" s="3" t="str">
        <f t="shared" si="8"/>
        <v>0-0.5</v>
      </c>
      <c r="L50" s="3">
        <f t="shared" si="9"/>
        <v>0.16364984575491615</v>
      </c>
      <c r="M50" s="3">
        <f>C50-CryptoTable[[#This Row],[Previous_Price]]</f>
        <v>6.3961701053102948E-4</v>
      </c>
      <c r="N50" s="3" t="str">
        <f t="shared" si="10"/>
        <v>&lt;10</v>
      </c>
      <c r="O50" s="3" t="str">
        <f t="shared" si="11"/>
        <v>0-50</v>
      </c>
      <c r="P50" s="3" t="str">
        <f t="shared" si="12"/>
        <v>Others</v>
      </c>
      <c r="Q50" s="3" t="str">
        <f t="shared" si="13"/>
        <v>No</v>
      </c>
      <c r="R50" s="3" t="str">
        <f t="shared" si="14"/>
        <v>&gt; 50</v>
      </c>
      <c r="S50" s="3">
        <f t="shared" si="15"/>
        <v>3307262512.4839234</v>
      </c>
    </row>
    <row r="51" spans="1:19" x14ac:dyDescent="0.35">
      <c r="A51" s="3" t="s">
        <v>102</v>
      </c>
      <c r="B51" s="3" t="s">
        <v>103</v>
      </c>
      <c r="C51" s="3">
        <v>5.4791428215047491</v>
      </c>
      <c r="D51" s="3">
        <v>-1.99767268</v>
      </c>
      <c r="E51" s="3">
        <v>-7.2131648000000004</v>
      </c>
      <c r="F51" s="3">
        <v>1377858804.2650771</v>
      </c>
      <c r="G51" s="3">
        <v>13996603.256834161</v>
      </c>
      <c r="H51" s="2">
        <v>251473423.69999999</v>
      </c>
      <c r="I51" s="3">
        <f>CryptoTable[[#This Row],[volume_24h]]/CryptoTable[[#This Row],[circulating_supply]]</f>
        <v>5.5658379525351652E-2</v>
      </c>
      <c r="J51" s="3">
        <f>RANK(CryptoTable[[#This Row],[market_cap]],CryptoTable[market_cap],0)</f>
        <v>50</v>
      </c>
      <c r="K51" s="3" t="str">
        <f t="shared" si="8"/>
        <v>2-10</v>
      </c>
      <c r="L51" s="3">
        <f t="shared" si="9"/>
        <v>5.5908292908331605</v>
      </c>
      <c r="M51" s="3">
        <f>C51-CryptoTable[[#This Row],[Previous_Price]]</f>
        <v>-0.11168646932841142</v>
      </c>
      <c r="N51" s="3" t="str">
        <f t="shared" si="10"/>
        <v>&lt;10</v>
      </c>
      <c r="O51" s="3" t="str">
        <f t="shared" si="11"/>
        <v>0-50</v>
      </c>
      <c r="P51" s="3" t="str">
        <f t="shared" si="12"/>
        <v>Others</v>
      </c>
      <c r="Q51" s="3" t="str">
        <f t="shared" si="13"/>
        <v>No</v>
      </c>
      <c r="R51" s="3" t="str">
        <f t="shared" si="14"/>
        <v>&gt; 50</v>
      </c>
      <c r="S51" s="3">
        <f t="shared" si="15"/>
        <v>543110741.98913479</v>
      </c>
    </row>
    <row r="52" spans="1:19" x14ac:dyDescent="0.35">
      <c r="A52" s="3" t="s">
        <v>104</v>
      </c>
      <c r="B52" s="3" t="s">
        <v>105</v>
      </c>
      <c r="C52" s="3">
        <v>0.99984869784091468</v>
      </c>
      <c r="D52" s="3">
        <v>0.10578078</v>
      </c>
      <c r="E52" s="3">
        <v>8.5826500000000007E-3</v>
      </c>
      <c r="F52" s="3">
        <v>1335929114.106612</v>
      </c>
      <c r="G52" s="3">
        <v>166921581.74597323</v>
      </c>
      <c r="H52" s="2">
        <v>1336131273.6531372</v>
      </c>
      <c r="I52" s="3">
        <f>CryptoTable[[#This Row],[volume_24h]]/CryptoTable[[#This Row],[circulating_supply]]</f>
        <v>0.12492902833535985</v>
      </c>
      <c r="J52" s="3">
        <f>RANK(CryptoTable[[#This Row],[market_cap]],CryptoTable[market_cap],0)</f>
        <v>51</v>
      </c>
      <c r="K52" s="3" t="str">
        <f t="shared" si="8"/>
        <v>0.5-1</v>
      </c>
      <c r="L52" s="3">
        <f t="shared" si="9"/>
        <v>0.99879216769534751</v>
      </c>
      <c r="M52" s="3">
        <f>C52-CryptoTable[[#This Row],[Previous_Price]]</f>
        <v>1.0565301455671694E-3</v>
      </c>
      <c r="N52" s="3" t="str">
        <f t="shared" si="10"/>
        <v>&lt;10</v>
      </c>
      <c r="O52" s="3" t="str">
        <f t="shared" si="11"/>
        <v>0-50</v>
      </c>
      <c r="P52" s="3" t="str">
        <f t="shared" si="12"/>
        <v>Others</v>
      </c>
      <c r="Q52" s="3" t="str">
        <f t="shared" si="13"/>
        <v>No</v>
      </c>
      <c r="R52" s="3" t="str">
        <f t="shared" si="14"/>
        <v>&gt; 50</v>
      </c>
      <c r="S52" s="3">
        <f t="shared" si="15"/>
        <v>890686795.95517671</v>
      </c>
    </row>
    <row r="53" spans="1:19" x14ac:dyDescent="0.35">
      <c r="A53" s="3" t="s">
        <v>106</v>
      </c>
      <c r="B53" s="3" t="s">
        <v>107</v>
      </c>
      <c r="C53" s="3">
        <v>10.094111145619847</v>
      </c>
      <c r="D53" s="3">
        <v>-0.97213908999999998</v>
      </c>
      <c r="E53" s="3">
        <v>-5.8462755299999998</v>
      </c>
      <c r="F53" s="3">
        <v>1333987477.8506215</v>
      </c>
      <c r="G53" s="3">
        <v>4687891.3376156203</v>
      </c>
      <c r="H53" s="2">
        <v>132155021.73556715</v>
      </c>
      <c r="I53" s="3">
        <f>CryptoTable[[#This Row],[volume_24h]]/CryptoTable[[#This Row],[circulating_supply]]</f>
        <v>3.5472668961424404E-2</v>
      </c>
      <c r="J53" s="3">
        <f>RANK(CryptoTable[[#This Row],[market_cap]],CryptoTable[market_cap],0)</f>
        <v>52</v>
      </c>
      <c r="K53" s="3" t="str">
        <f t="shared" si="8"/>
        <v>10-100</v>
      </c>
      <c r="L53" s="3">
        <f t="shared" si="9"/>
        <v>10.193203259023973</v>
      </c>
      <c r="M53" s="3">
        <f>C53-CryptoTable[[#This Row],[Previous_Price]]</f>
        <v>-9.9092113404125826E-2</v>
      </c>
      <c r="N53" s="3" t="str">
        <f t="shared" si="10"/>
        <v>&gt;=10</v>
      </c>
      <c r="O53" s="3" t="str">
        <f t="shared" si="11"/>
        <v>0-50</v>
      </c>
      <c r="P53" s="3" t="str">
        <f t="shared" si="12"/>
        <v>Others</v>
      </c>
      <c r="Q53" s="3" t="str">
        <f t="shared" si="13"/>
        <v>No</v>
      </c>
      <c r="R53" s="3" t="str">
        <f t="shared" si="14"/>
        <v>&gt; 50</v>
      </c>
      <c r="S53" s="3">
        <f t="shared" si="15"/>
        <v>488714166.20468313</v>
      </c>
    </row>
    <row r="54" spans="1:19" x14ac:dyDescent="0.35">
      <c r="A54" s="3" t="s">
        <v>108</v>
      </c>
      <c r="B54" s="3" t="s">
        <v>109</v>
      </c>
      <c r="C54" s="3">
        <v>0.45864219708028059</v>
      </c>
      <c r="D54" s="3">
        <v>-1.6730557500000001</v>
      </c>
      <c r="E54" s="3">
        <v>-10.28969596</v>
      </c>
      <c r="F54" s="3">
        <v>1275182097.9386439</v>
      </c>
      <c r="G54" s="3">
        <v>390584589.09755188</v>
      </c>
      <c r="H54" s="2">
        <v>2780341857.0215778</v>
      </c>
      <c r="I54" s="3">
        <f>CryptoTable[[#This Row],[volume_24h]]/CryptoTable[[#This Row],[circulating_supply]]</f>
        <v>0.140480778689554</v>
      </c>
      <c r="J54" s="3">
        <f>RANK(CryptoTable[[#This Row],[market_cap]],CryptoTable[market_cap],0)</f>
        <v>53</v>
      </c>
      <c r="K54" s="3" t="str">
        <f t="shared" si="8"/>
        <v>0-0.5</v>
      </c>
      <c r="L54" s="3">
        <f t="shared" si="9"/>
        <v>0.46644610038339573</v>
      </c>
      <c r="M54" s="3">
        <f>C54-CryptoTable[[#This Row],[Previous_Price]]</f>
        <v>-7.803903303115145E-3</v>
      </c>
      <c r="N54" s="3" t="str">
        <f t="shared" si="10"/>
        <v>&lt;10</v>
      </c>
      <c r="O54" s="3" t="str">
        <f t="shared" si="11"/>
        <v>0-50</v>
      </c>
      <c r="P54" s="3" t="str">
        <f t="shared" si="12"/>
        <v>Others</v>
      </c>
      <c r="Q54" s="3" t="str">
        <f t="shared" si="13"/>
        <v>No</v>
      </c>
      <c r="R54" s="3" t="str">
        <f t="shared" si="14"/>
        <v>&gt; 50</v>
      </c>
      <c r="S54" s="3">
        <f t="shared" si="15"/>
        <v>1351841317.7623887</v>
      </c>
    </row>
    <row r="55" spans="1:19" x14ac:dyDescent="0.35">
      <c r="A55" s="3" t="s">
        <v>110</v>
      </c>
      <c r="B55" s="3" t="s">
        <v>111</v>
      </c>
      <c r="C55" s="3">
        <v>0.15247609234855211</v>
      </c>
      <c r="D55" s="3">
        <v>-0.81948372999999997</v>
      </c>
      <c r="E55" s="3">
        <v>-8.1430329500000003</v>
      </c>
      <c r="F55" s="3">
        <v>1213376153.6424623</v>
      </c>
      <c r="G55" s="3">
        <v>193252313.4436982</v>
      </c>
      <c r="H55" s="2">
        <v>7957812500</v>
      </c>
      <c r="I55" s="3">
        <f>CryptoTable[[#This Row],[volume_24h]]/CryptoTable[[#This Row],[circulating_supply]]</f>
        <v>2.4284602514032368E-2</v>
      </c>
      <c r="J55" s="3">
        <f>RANK(CryptoTable[[#This Row],[market_cap]],CryptoTable[market_cap],0)</f>
        <v>54</v>
      </c>
      <c r="K55" s="3" t="str">
        <f t="shared" si="8"/>
        <v>0-0.5</v>
      </c>
      <c r="L55" s="3">
        <f t="shared" si="9"/>
        <v>0.15373593330918453</v>
      </c>
      <c r="M55" s="3">
        <f>C55-CryptoTable[[#This Row],[Previous_Price]]</f>
        <v>-1.259840960632419E-3</v>
      </c>
      <c r="N55" s="3" t="str">
        <f t="shared" si="10"/>
        <v>&lt;10</v>
      </c>
      <c r="O55" s="3" t="str">
        <f t="shared" si="11"/>
        <v>0-50</v>
      </c>
      <c r="P55" s="3" t="str">
        <f t="shared" si="12"/>
        <v>Others</v>
      </c>
      <c r="Q55" s="3" t="str">
        <f t="shared" si="13"/>
        <v>Yes</v>
      </c>
      <c r="R55" s="3" t="str">
        <f t="shared" si="14"/>
        <v>&gt; 50</v>
      </c>
      <c r="S55" s="3">
        <f t="shared" si="15"/>
        <v>3057062884.2743263</v>
      </c>
    </row>
    <row r="56" spans="1:19" x14ac:dyDescent="0.35">
      <c r="A56" s="3" t="s">
        <v>112</v>
      </c>
      <c r="B56" s="3" t="s">
        <v>113</v>
      </c>
      <c r="C56" s="3">
        <v>0.10966729018881285</v>
      </c>
      <c r="D56" s="3">
        <v>-0.86970506000000003</v>
      </c>
      <c r="E56" s="3">
        <v>-6.5591100600000001</v>
      </c>
      <c r="F56" s="3">
        <v>1160568672.4717588</v>
      </c>
      <c r="G56" s="3">
        <v>100536885.22726832</v>
      </c>
      <c r="H56" s="2">
        <v>10582632893.305029</v>
      </c>
      <c r="I56" s="3">
        <f>CryptoTable[[#This Row],[volume_24h]]/CryptoTable[[#This Row],[circulating_supply]]</f>
        <v>9.5001769636053179E-3</v>
      </c>
      <c r="J56" s="3">
        <f>RANK(CryptoTable[[#This Row],[market_cap]],CryptoTable[market_cap],0)</f>
        <v>55</v>
      </c>
      <c r="K56" s="3" t="str">
        <f t="shared" si="8"/>
        <v>0-0.5</v>
      </c>
      <c r="L56" s="3">
        <f t="shared" si="9"/>
        <v>0.11062944002657364</v>
      </c>
      <c r="M56" s="3">
        <f>C56-CryptoTable[[#This Row],[Previous_Price]]</f>
        <v>-9.6214983776078677E-4</v>
      </c>
      <c r="N56" s="3" t="str">
        <f t="shared" si="10"/>
        <v>&lt;10</v>
      </c>
      <c r="O56" s="3" t="str">
        <f t="shared" si="11"/>
        <v>0-50</v>
      </c>
      <c r="P56" s="3" t="str">
        <f t="shared" si="12"/>
        <v>Others</v>
      </c>
      <c r="Q56" s="3" t="str">
        <f t="shared" si="13"/>
        <v>No</v>
      </c>
      <c r="R56" s="3" t="str">
        <f t="shared" si="14"/>
        <v>&gt; 50</v>
      </c>
      <c r="S56" s="3">
        <f t="shared" si="15"/>
        <v>3914400521.6356945</v>
      </c>
    </row>
    <row r="57" spans="1:19" x14ac:dyDescent="0.35">
      <c r="A57" s="3" t="s">
        <v>114</v>
      </c>
      <c r="B57" s="3" t="s">
        <v>114</v>
      </c>
      <c r="C57" s="3">
        <v>0.99810411764851903</v>
      </c>
      <c r="D57" s="3">
        <v>7.3586059999999995E-2</v>
      </c>
      <c r="E57" s="3">
        <v>-4.5058580000000001E-2</v>
      </c>
      <c r="F57" s="3">
        <v>1111320630.7444389</v>
      </c>
      <c r="G57" s="3">
        <v>3706165.1793804802</v>
      </c>
      <c r="H57" s="2">
        <v>1113431566</v>
      </c>
      <c r="I57" s="3">
        <f>CryptoTable[[#This Row],[volume_24h]]/CryptoTable[[#This Row],[circulating_supply]]</f>
        <v>3.3285971877866452E-3</v>
      </c>
      <c r="J57" s="3">
        <f>RANK(CryptoTable[[#This Row],[market_cap]],CryptoTable[market_cap],0)</f>
        <v>56</v>
      </c>
      <c r="K57" s="3" t="str">
        <f t="shared" si="8"/>
        <v>0.5-1</v>
      </c>
      <c r="L57" s="3">
        <f t="shared" si="9"/>
        <v>0.99737019222044954</v>
      </c>
      <c r="M57" s="3">
        <f>C57-CryptoTable[[#This Row],[Previous_Price]]</f>
        <v>7.339254280694929E-4</v>
      </c>
      <c r="N57" s="3" t="str">
        <f t="shared" si="10"/>
        <v>&lt;10</v>
      </c>
      <c r="O57" s="3" t="str">
        <f t="shared" si="11"/>
        <v>0-50</v>
      </c>
      <c r="P57" s="3" t="str">
        <f t="shared" si="12"/>
        <v>Others</v>
      </c>
      <c r="Q57" s="3" t="str">
        <f t="shared" si="13"/>
        <v>Yes</v>
      </c>
      <c r="R57" s="3" t="str">
        <f t="shared" si="14"/>
        <v>&gt; 50</v>
      </c>
      <c r="S57" s="3">
        <f t="shared" si="15"/>
        <v>741584065.60600817</v>
      </c>
    </row>
    <row r="58" spans="1:19" x14ac:dyDescent="0.35">
      <c r="A58" s="3" t="s">
        <v>115</v>
      </c>
      <c r="B58" s="3" t="s">
        <v>116</v>
      </c>
      <c r="C58" s="3">
        <v>1.438585992684805</v>
      </c>
      <c r="D58" s="3">
        <v>-1.0589861</v>
      </c>
      <c r="E58" s="3">
        <v>-7.7887692800000004</v>
      </c>
      <c r="F58" s="3">
        <v>1101064286.4748759</v>
      </c>
      <c r="G58" s="3">
        <v>107999948.06795</v>
      </c>
      <c r="H58" s="2">
        <v>765379540.79476416</v>
      </c>
      <c r="I58" s="3">
        <f>CryptoTable[[#This Row],[volume_24h]]/CryptoTable[[#This Row],[circulating_supply]]</f>
        <v>0.14110639533923744</v>
      </c>
      <c r="J58" s="3">
        <f>RANK(CryptoTable[[#This Row],[market_cap]],CryptoTable[market_cap],0)</f>
        <v>57</v>
      </c>
      <c r="K58" s="3" t="str">
        <f t="shared" si="8"/>
        <v>1-2</v>
      </c>
      <c r="L58" s="3">
        <f t="shared" si="9"/>
        <v>1.4539834755875745</v>
      </c>
      <c r="M58" s="3">
        <f>C58-CryptoTable[[#This Row],[Previous_Price]]</f>
        <v>-1.5397482902769433E-2</v>
      </c>
      <c r="N58" s="3" t="str">
        <f t="shared" si="10"/>
        <v>&lt;10</v>
      </c>
      <c r="O58" s="3" t="str">
        <f t="shared" si="11"/>
        <v>0-50</v>
      </c>
      <c r="P58" s="3" t="str">
        <f t="shared" si="12"/>
        <v>Others</v>
      </c>
      <c r="Q58" s="3" t="str">
        <f t="shared" si="13"/>
        <v>Yes</v>
      </c>
      <c r="R58" s="3" t="str">
        <f t="shared" si="14"/>
        <v>&gt; 50</v>
      </c>
      <c r="S58" s="3">
        <f t="shared" si="15"/>
        <v>622147942.07021797</v>
      </c>
    </row>
    <row r="59" spans="1:19" x14ac:dyDescent="0.35">
      <c r="A59" s="3" t="s">
        <v>117</v>
      </c>
      <c r="B59" s="3" t="s">
        <v>118</v>
      </c>
      <c r="C59" s="3">
        <v>9.3348904626713871</v>
      </c>
      <c r="D59" s="3">
        <v>-0.70984290999999999</v>
      </c>
      <c r="E59" s="3">
        <v>-4.1875526799999996</v>
      </c>
      <c r="F59" s="3">
        <v>1075198032.8388097</v>
      </c>
      <c r="G59" s="3">
        <v>4985982.4741293304</v>
      </c>
      <c r="H59" s="2">
        <v>115180573.04885802</v>
      </c>
      <c r="I59" s="3">
        <f>CryptoTable[[#This Row],[volume_24h]]/CryptoTable[[#This Row],[circulating_supply]]</f>
        <v>4.3288397879513461E-2</v>
      </c>
      <c r="J59" s="3">
        <f>RANK(CryptoTable[[#This Row],[market_cap]],CryptoTable[market_cap],0)</f>
        <v>58</v>
      </c>
      <c r="K59" s="3" t="str">
        <f t="shared" si="8"/>
        <v>2-10</v>
      </c>
      <c r="L59" s="3">
        <f t="shared" si="9"/>
        <v>9.4016272471096229</v>
      </c>
      <c r="M59" s="3">
        <f>C59-CryptoTable[[#This Row],[Previous_Price]]</f>
        <v>-6.673678443823583E-2</v>
      </c>
      <c r="N59" s="3" t="str">
        <f t="shared" si="10"/>
        <v>&lt;10</v>
      </c>
      <c r="O59" s="3" t="str">
        <f t="shared" si="11"/>
        <v>0-50</v>
      </c>
      <c r="P59" s="3" t="str">
        <f t="shared" si="12"/>
        <v>Others</v>
      </c>
      <c r="Q59" s="3" t="str">
        <f t="shared" si="13"/>
        <v>No</v>
      </c>
      <c r="R59" s="3" t="str">
        <f t="shared" si="14"/>
        <v>&gt; 50</v>
      </c>
      <c r="S59" s="3">
        <f t="shared" si="15"/>
        <v>396792868.39260823</v>
      </c>
    </row>
    <row r="60" spans="1:19" x14ac:dyDescent="0.35">
      <c r="A60" s="3" t="s">
        <v>119</v>
      </c>
      <c r="B60" s="3" t="s">
        <v>120</v>
      </c>
      <c r="C60" s="3">
        <v>3.7645763046081956E-2</v>
      </c>
      <c r="D60" s="3">
        <v>-0.66624265000000005</v>
      </c>
      <c r="E60" s="3">
        <v>-4.1606352800000002</v>
      </c>
      <c r="F60" s="3">
        <v>1022407810.4653065</v>
      </c>
      <c r="G60" s="3">
        <v>32261892.553547859</v>
      </c>
      <c r="H60" s="2">
        <v>27158642241.194134</v>
      </c>
      <c r="I60" s="3">
        <f>CryptoTable[[#This Row],[volume_24h]]/CryptoTable[[#This Row],[circulating_supply]]</f>
        <v>1.1879052077431592E-3</v>
      </c>
      <c r="J60" s="3">
        <f>RANK(CryptoTable[[#This Row],[market_cap]],CryptoTable[market_cap],0)</f>
        <v>59</v>
      </c>
      <c r="K60" s="3" t="str">
        <f t="shared" si="8"/>
        <v>0-0.5</v>
      </c>
      <c r="L60" s="3">
        <f t="shared" si="9"/>
        <v>3.7898257400490812E-2</v>
      </c>
      <c r="M60" s="3">
        <f>C60-CryptoTable[[#This Row],[Previous_Price]]</f>
        <v>-2.5249435440885537E-4</v>
      </c>
      <c r="N60" s="3" t="str">
        <f t="shared" si="10"/>
        <v>&lt;10</v>
      </c>
      <c r="O60" s="3" t="str">
        <f t="shared" si="11"/>
        <v>0-50</v>
      </c>
      <c r="P60" s="3" t="str">
        <f t="shared" si="12"/>
        <v>Others</v>
      </c>
      <c r="Q60" s="3" t="str">
        <f t="shared" si="13"/>
        <v>No</v>
      </c>
      <c r="R60" s="3" t="str">
        <f t="shared" si="14"/>
        <v>&gt; 50</v>
      </c>
      <c r="S60" s="3">
        <f t="shared" si="15"/>
        <v>9393683350.3310661</v>
      </c>
    </row>
    <row r="61" spans="1:19" x14ac:dyDescent="0.35">
      <c r="A61" s="3" t="s">
        <v>121</v>
      </c>
      <c r="B61" s="3" t="s">
        <v>122</v>
      </c>
      <c r="C61" s="3">
        <v>2.0719902825781369</v>
      </c>
      <c r="D61" s="3">
        <v>-0.29996507</v>
      </c>
      <c r="E61" s="3">
        <v>-5.4393754300000001</v>
      </c>
      <c r="F61" s="3">
        <v>1016272570.2659032</v>
      </c>
      <c r="G61" s="3">
        <v>59188630.196363531</v>
      </c>
      <c r="H61" s="2">
        <v>490481340</v>
      </c>
      <c r="I61" s="3">
        <f>CryptoTable[[#This Row],[volume_24h]]/CryptoTable[[#This Row],[circulating_supply]]</f>
        <v>0.12067458100722758</v>
      </c>
      <c r="J61" s="3">
        <f>RANK(CryptoTable[[#This Row],[market_cap]],CryptoTable[market_cap],0)</f>
        <v>60</v>
      </c>
      <c r="K61" s="3" t="str">
        <f t="shared" si="8"/>
        <v>2-10</v>
      </c>
      <c r="L61" s="3">
        <f t="shared" si="9"/>
        <v>2.0782242293424407</v>
      </c>
      <c r="M61" s="3">
        <f>C61-CryptoTable[[#This Row],[Previous_Price]]</f>
        <v>-6.2339467643037771E-3</v>
      </c>
      <c r="N61" s="3" t="str">
        <f t="shared" si="10"/>
        <v>&lt;10</v>
      </c>
      <c r="O61" s="3" t="str">
        <f t="shared" si="11"/>
        <v>0-50</v>
      </c>
      <c r="P61" s="3" t="str">
        <f t="shared" si="12"/>
        <v>Others</v>
      </c>
      <c r="Q61" s="3" t="str">
        <f t="shared" si="13"/>
        <v>Yes</v>
      </c>
      <c r="R61" s="3" t="str">
        <f t="shared" si="14"/>
        <v>&gt; 50</v>
      </c>
      <c r="S61" s="3">
        <f t="shared" si="15"/>
        <v>502251303.32197934</v>
      </c>
    </row>
    <row r="62" spans="1:19" x14ac:dyDescent="0.35">
      <c r="A62" s="3" t="s">
        <v>123</v>
      </c>
      <c r="B62" s="3" t="s">
        <v>124</v>
      </c>
      <c r="C62" s="3">
        <v>0.11113176877749004</v>
      </c>
      <c r="D62" s="3">
        <v>-0.26410342999999997</v>
      </c>
      <c r="E62" s="3">
        <v>-9.0255840900000006</v>
      </c>
      <c r="F62" s="3">
        <v>985515832.67347598</v>
      </c>
      <c r="G62" s="3">
        <v>60798986.698443882</v>
      </c>
      <c r="H62" s="2">
        <v>8867993765.5513515</v>
      </c>
      <c r="I62" s="3">
        <f>CryptoTable[[#This Row],[volume_24h]]/CryptoTable[[#This Row],[circulating_supply]]</f>
        <v>6.8560024178889144E-3</v>
      </c>
      <c r="J62" s="3">
        <f>RANK(CryptoTable[[#This Row],[market_cap]],CryptoTable[market_cap],0)</f>
        <v>61</v>
      </c>
      <c r="K62" s="3" t="str">
        <f t="shared" si="8"/>
        <v>0-0.5</v>
      </c>
      <c r="L62" s="3">
        <f t="shared" si="9"/>
        <v>0.11142604879426916</v>
      </c>
      <c r="M62" s="3">
        <f>C62-CryptoTable[[#This Row],[Previous_Price]]</f>
        <v>-2.9428001677912763E-4</v>
      </c>
      <c r="N62" s="3" t="str">
        <f t="shared" si="10"/>
        <v>&lt;10</v>
      </c>
      <c r="O62" s="3" t="str">
        <f t="shared" si="11"/>
        <v>0-50</v>
      </c>
      <c r="P62" s="3" t="str">
        <f t="shared" si="12"/>
        <v>Others</v>
      </c>
      <c r="Q62" s="3" t="str">
        <f t="shared" si="13"/>
        <v>Yes</v>
      </c>
      <c r="R62" s="3" t="str">
        <f t="shared" si="14"/>
        <v>&gt; 50</v>
      </c>
      <c r="S62" s="3">
        <f t="shared" si="15"/>
        <v>3284503199.3202415</v>
      </c>
    </row>
    <row r="63" spans="1:19" x14ac:dyDescent="0.35">
      <c r="A63" s="3" t="s">
        <v>125</v>
      </c>
      <c r="B63" s="3" t="s">
        <v>126</v>
      </c>
      <c r="C63" s="3">
        <v>2.6846977684150688E-3</v>
      </c>
      <c r="D63" s="3">
        <v>-0.87424694999999997</v>
      </c>
      <c r="E63" s="3">
        <v>-10.36287067</v>
      </c>
      <c r="F63" s="3">
        <v>950383010.01893437</v>
      </c>
      <c r="G63" s="3">
        <v>315285581.52283525</v>
      </c>
      <c r="H63" s="2">
        <v>354000000000</v>
      </c>
      <c r="I63" s="3">
        <f>CryptoTable[[#This Row],[volume_24h]]/CryptoTable[[#This Row],[circulating_supply]]</f>
        <v>8.9063723594021258E-4</v>
      </c>
      <c r="J63" s="3">
        <f>RANK(CryptoTable[[#This Row],[market_cap]],CryptoTable[market_cap],0)</f>
        <v>62</v>
      </c>
      <c r="K63" s="3" t="str">
        <f t="shared" si="8"/>
        <v>0-0.5</v>
      </c>
      <c r="L63" s="3">
        <f t="shared" si="9"/>
        <v>2.7083756600173124E-3</v>
      </c>
      <c r="M63" s="3">
        <f>C63-CryptoTable[[#This Row],[Previous_Price]]</f>
        <v>-2.3677891602243584E-5</v>
      </c>
      <c r="N63" s="3" t="str">
        <f t="shared" si="10"/>
        <v>&lt;10</v>
      </c>
      <c r="O63" s="3" t="str">
        <f t="shared" si="11"/>
        <v>0-50</v>
      </c>
      <c r="P63" s="3" t="str">
        <f t="shared" si="12"/>
        <v>Others</v>
      </c>
      <c r="Q63" s="3" t="str">
        <f t="shared" si="13"/>
        <v>No</v>
      </c>
      <c r="R63" s="3" t="str">
        <f t="shared" si="14"/>
        <v>&gt; 50</v>
      </c>
      <c r="S63" s="3">
        <f t="shared" si="15"/>
        <v>118316794336.38158</v>
      </c>
    </row>
    <row r="64" spans="1:19" x14ac:dyDescent="0.35">
      <c r="A64" s="3" t="s">
        <v>127</v>
      </c>
      <c r="B64" s="3" t="s">
        <v>128</v>
      </c>
      <c r="C64" s="3">
        <v>4.501861211883325</v>
      </c>
      <c r="D64" s="3">
        <v>-0.52584805000000001</v>
      </c>
      <c r="E64" s="3">
        <v>-4.0708534500000004</v>
      </c>
      <c r="F64" s="3">
        <v>900368483.97458017</v>
      </c>
      <c r="G64" s="3">
        <v>229749821.8895728</v>
      </c>
      <c r="H64" s="2">
        <v>199999165.144835</v>
      </c>
      <c r="I64" s="3">
        <f>CryptoTable[[#This Row],[volume_24h]]/CryptoTable[[#This Row],[circulating_supply]]</f>
        <v>1.1487539046635171</v>
      </c>
      <c r="J64" s="3">
        <f>RANK(CryptoTable[[#This Row],[market_cap]],CryptoTable[market_cap],0)</f>
        <v>63</v>
      </c>
      <c r="K64" s="3" t="str">
        <f t="shared" si="8"/>
        <v>2-10</v>
      </c>
      <c r="L64" s="3">
        <f t="shared" si="9"/>
        <v>4.5256593030782053</v>
      </c>
      <c r="M64" s="3">
        <f>C64-CryptoTable[[#This Row],[Previous_Price]]</f>
        <v>-2.37980911948803E-2</v>
      </c>
      <c r="N64" s="3" t="str">
        <f t="shared" si="10"/>
        <v>&lt;10</v>
      </c>
      <c r="O64" s="3" t="str">
        <f t="shared" si="11"/>
        <v>0-50</v>
      </c>
      <c r="P64" s="3" t="str">
        <f t="shared" si="12"/>
        <v>Others</v>
      </c>
      <c r="Q64" s="3" t="str">
        <f t="shared" si="13"/>
        <v>Yes</v>
      </c>
      <c r="R64" s="3" t="str">
        <f t="shared" si="14"/>
        <v>&gt; 50</v>
      </c>
      <c r="S64" s="3">
        <f t="shared" si="15"/>
        <v>366789216.19785571</v>
      </c>
    </row>
    <row r="65" spans="1:19" x14ac:dyDescent="0.35">
      <c r="A65" s="3" t="s">
        <v>129</v>
      </c>
      <c r="B65" s="3" t="s">
        <v>130</v>
      </c>
      <c r="C65" s="3">
        <v>0.15267476745342057</v>
      </c>
      <c r="D65" s="3">
        <v>-1.0192256900000001</v>
      </c>
      <c r="E65" s="3">
        <v>-8.53861296</v>
      </c>
      <c r="F65" s="3">
        <v>889603051.74644375</v>
      </c>
      <c r="G65" s="3">
        <v>150855180.16791749</v>
      </c>
      <c r="H65" s="2">
        <v>5826785045</v>
      </c>
      <c r="I65" s="3">
        <f>CryptoTable[[#This Row],[volume_24h]]/CryptoTable[[#This Row],[circulating_supply]]</f>
        <v>2.5889951148509803E-2</v>
      </c>
      <c r="J65" s="3">
        <f>RANK(CryptoTable[[#This Row],[market_cap]],CryptoTable[market_cap],0)</f>
        <v>64</v>
      </c>
      <c r="K65" s="3" t="str">
        <f t="shared" si="8"/>
        <v>0-0.5</v>
      </c>
      <c r="L65" s="3">
        <f t="shared" si="9"/>
        <v>0.15424689139656073</v>
      </c>
      <c r="M65" s="3">
        <f>C65-CryptoTable[[#This Row],[Previous_Price]]</f>
        <v>-1.5721239431401579E-3</v>
      </c>
      <c r="N65" s="3" t="str">
        <f t="shared" si="10"/>
        <v>&lt;10</v>
      </c>
      <c r="O65" s="3" t="str">
        <f t="shared" si="11"/>
        <v>0-50</v>
      </c>
      <c r="P65" s="3" t="str">
        <f t="shared" si="12"/>
        <v>Others</v>
      </c>
      <c r="Q65" s="3" t="str">
        <f t="shared" si="13"/>
        <v>Yes</v>
      </c>
      <c r="R65" s="3" t="str">
        <f t="shared" si="14"/>
        <v>&gt; 50</v>
      </c>
      <c r="S65" s="3">
        <f t="shared" si="15"/>
        <v>2238796031.9090724</v>
      </c>
    </row>
    <row r="66" spans="1:19" x14ac:dyDescent="0.35">
      <c r="A66" s="3" t="s">
        <v>131</v>
      </c>
      <c r="B66" s="3" t="s">
        <v>132</v>
      </c>
      <c r="C66" s="3">
        <v>5.2947576384987649E-2</v>
      </c>
      <c r="D66" s="3">
        <v>-1.57267468</v>
      </c>
      <c r="E66" s="3">
        <v>-8.0630981300000002</v>
      </c>
      <c r="F66" s="3">
        <v>879321548.34044564</v>
      </c>
      <c r="G66" s="3">
        <v>18692698.739090011</v>
      </c>
      <c r="H66" s="2">
        <v>16607399401</v>
      </c>
      <c r="I66" s="3">
        <f>CryptoTable[[#This Row],[volume_24h]]/CryptoTable[[#This Row],[circulating_supply]]</f>
        <v>1.1255644720608361E-3</v>
      </c>
      <c r="J66" s="3">
        <f>RANK(CryptoTable[[#This Row],[market_cap]],CryptoTable[market_cap],0)</f>
        <v>65</v>
      </c>
      <c r="K66" s="3" t="str">
        <f t="shared" ref="K66:K97" si="16">IF(C66&lt;=0.5,"0-0.5",
IF(C66&lt;=1,"0.5-1",
IF(C66&lt;=2,"1-2",
IF(C66&lt;=10,"2-10",
IF(C66&lt;=100,"10-100",
IF(C66&lt;=10000,"100-10000","10000+"))))))</f>
        <v>0-0.5</v>
      </c>
      <c r="L66" s="3">
        <f t="shared" ref="L66:L97" si="17">C66/(1+D66/100)</f>
        <v>5.3793574307590103E-2</v>
      </c>
      <c r="M66" s="3">
        <f>C66-CryptoTable[[#This Row],[Previous_Price]]</f>
        <v>-8.4599792260245388E-4</v>
      </c>
      <c r="N66" s="3" t="str">
        <f t="shared" ref="N66:N97" si="18">IF(C66&gt;=10,"&gt;=10","&lt;10")</f>
        <v>&lt;10</v>
      </c>
      <c r="O66" s="3" t="str">
        <f t="shared" ref="O66:O97" si="19">IF(C66&lt;=50,"0-50","&gt;50")</f>
        <v>0-50</v>
      </c>
      <c r="P66" s="3" t="str">
        <f t="shared" ref="P66:P129" si="20">IF(J66&lt;=5,A66,"Others")</f>
        <v>Others</v>
      </c>
      <c r="Q66" s="3" t="str">
        <f t="shared" ref="Q66:Q97" si="21">IF(OR(
LEFT(A66,1)="A",
LEFT(A66,1)="E",
LEFT(A66,1)="I",
LEFT(A66,1)="O",
LEFT(A66,1)="U",
LEFT(A66,1)="B",
LEFT(A66,1)="C",
LEFT(A66,1)="D"
),
"Yes","No")</f>
        <v>No</v>
      </c>
      <c r="R66" s="3" t="str">
        <f t="shared" ref="R66:R97" si="22">IF(B66&lt;=0.05,"0 - 0.05",
IF(B66&lt;=0.5,"0.05 - 0.5",
IF(B66&lt;=5,"0.5 - 5",
IF(B66&lt;=50,"5 - 50",
"&gt; 50"))))</f>
        <v>&gt; 50</v>
      </c>
      <c r="S66" s="3">
        <f t="shared" ref="S66:S97" si="23">AVERAGE(D66,F66,H66)</f>
        <v>5828906982.5892572</v>
      </c>
    </row>
    <row r="67" spans="1:19" x14ac:dyDescent="0.35">
      <c r="A67" s="3" t="s">
        <v>133</v>
      </c>
      <c r="B67" s="3" t="s">
        <v>134</v>
      </c>
      <c r="C67" s="3">
        <v>1.6818732849767304</v>
      </c>
      <c r="D67" s="3">
        <v>-0.52230840999999995</v>
      </c>
      <c r="E67" s="3">
        <v>-9.0741541399999992</v>
      </c>
      <c r="F67" s="3">
        <v>872412418.3427428</v>
      </c>
      <c r="G67" s="3">
        <v>98536526.741060421</v>
      </c>
      <c r="H67" s="2">
        <v>518714713.01407415</v>
      </c>
      <c r="I67" s="3">
        <f>CryptoTable[[#This Row],[volume_24h]]/CryptoTable[[#This Row],[circulating_supply]]</f>
        <v>0.18996285293027124</v>
      </c>
      <c r="J67" s="3">
        <f>RANK(CryptoTable[[#This Row],[market_cap]],CryptoTable[market_cap],0)</f>
        <v>66</v>
      </c>
      <c r="K67" s="3" t="str">
        <f t="shared" si="16"/>
        <v>1-2</v>
      </c>
      <c r="L67" s="3">
        <f t="shared" si="17"/>
        <v>1.6907039740212477</v>
      </c>
      <c r="M67" s="3">
        <f>C67-CryptoTable[[#This Row],[Previous_Price]]</f>
        <v>-8.8306890445173369E-3</v>
      </c>
      <c r="N67" s="3" t="str">
        <f t="shared" si="18"/>
        <v>&lt;10</v>
      </c>
      <c r="O67" s="3" t="str">
        <f t="shared" si="19"/>
        <v>0-50</v>
      </c>
      <c r="P67" s="3" t="str">
        <f t="shared" si="20"/>
        <v>Others</v>
      </c>
      <c r="Q67" s="3" t="str">
        <f t="shared" si="21"/>
        <v>No</v>
      </c>
      <c r="R67" s="3" t="str">
        <f t="shared" si="22"/>
        <v>&gt; 50</v>
      </c>
      <c r="S67" s="3">
        <f t="shared" si="23"/>
        <v>463709043.61150283</v>
      </c>
    </row>
    <row r="68" spans="1:19" x14ac:dyDescent="0.35">
      <c r="A68" s="3" t="s">
        <v>135</v>
      </c>
      <c r="B68" s="3" t="s">
        <v>136</v>
      </c>
      <c r="C68" s="3">
        <v>1.1552299534229409</v>
      </c>
      <c r="D68" s="3">
        <v>-0.46861037</v>
      </c>
      <c r="E68" s="3">
        <v>-7.4819441199999996</v>
      </c>
      <c r="F68" s="3">
        <v>855896968.57247722</v>
      </c>
      <c r="G68" s="3">
        <v>174869369.17232269</v>
      </c>
      <c r="H68" s="2">
        <v>740888830</v>
      </c>
      <c r="I68" s="3">
        <f>CryptoTable[[#This Row],[volume_24h]]/CryptoTable[[#This Row],[circulating_supply]]</f>
        <v>0.23602646185436849</v>
      </c>
      <c r="J68" s="3">
        <f>RANK(CryptoTable[[#This Row],[market_cap]],CryptoTable[market_cap],0)</f>
        <v>67</v>
      </c>
      <c r="K68" s="3" t="str">
        <f t="shared" si="16"/>
        <v>1-2</v>
      </c>
      <c r="L68" s="3">
        <f t="shared" si="17"/>
        <v>1.1606689685710367</v>
      </c>
      <c r="M68" s="3">
        <f>C68-CryptoTable[[#This Row],[Previous_Price]]</f>
        <v>-5.4390151480958604E-3</v>
      </c>
      <c r="N68" s="3" t="str">
        <f t="shared" si="18"/>
        <v>&lt;10</v>
      </c>
      <c r="O68" s="3" t="str">
        <f t="shared" si="19"/>
        <v>0-50</v>
      </c>
      <c r="P68" s="3" t="str">
        <f t="shared" si="20"/>
        <v>Others</v>
      </c>
      <c r="Q68" s="3" t="str">
        <f t="shared" si="21"/>
        <v>No</v>
      </c>
      <c r="R68" s="3" t="str">
        <f t="shared" si="22"/>
        <v>&gt; 50</v>
      </c>
      <c r="S68" s="3">
        <f t="shared" si="23"/>
        <v>532261932.70128894</v>
      </c>
    </row>
    <row r="69" spans="1:19" x14ac:dyDescent="0.35">
      <c r="A69" s="3" t="s">
        <v>137</v>
      </c>
      <c r="B69" s="3" t="s">
        <v>138</v>
      </c>
      <c r="C69" s="3">
        <v>70.472661745291646</v>
      </c>
      <c r="D69" s="3">
        <v>-1.0558435799999999</v>
      </c>
      <c r="E69" s="3">
        <v>-6.9681277599999998</v>
      </c>
      <c r="F69" s="3">
        <v>850797981.4135288</v>
      </c>
      <c r="G69" s="3">
        <v>20472175.14328352</v>
      </c>
      <c r="H69" s="2">
        <v>12072738</v>
      </c>
      <c r="I69" s="3">
        <f>CryptoTable[[#This Row],[volume_24h]]/CryptoTable[[#This Row],[circulating_supply]]</f>
        <v>1.695735892163279</v>
      </c>
      <c r="J69" s="3">
        <f>RANK(CryptoTable[[#This Row],[market_cap]],CryptoTable[market_cap],0)</f>
        <v>68</v>
      </c>
      <c r="K69" s="3" t="str">
        <f t="shared" si="16"/>
        <v>10-100</v>
      </c>
      <c r="L69" s="3">
        <f t="shared" si="17"/>
        <v>71.224682987995749</v>
      </c>
      <c r="M69" s="3">
        <f>C69-CryptoTable[[#This Row],[Previous_Price]]</f>
        <v>-0.75202124270410309</v>
      </c>
      <c r="N69" s="3" t="str">
        <f t="shared" si="18"/>
        <v>&gt;=10</v>
      </c>
      <c r="O69" s="3" t="str">
        <f t="shared" si="19"/>
        <v>&gt;50</v>
      </c>
      <c r="P69" s="3" t="str">
        <f t="shared" si="20"/>
        <v>Others</v>
      </c>
      <c r="Q69" s="3" t="str">
        <f t="shared" si="21"/>
        <v>No</v>
      </c>
      <c r="R69" s="3" t="str">
        <f t="shared" si="22"/>
        <v>&gt; 50</v>
      </c>
      <c r="S69" s="3">
        <f t="shared" si="23"/>
        <v>287623572.78589505</v>
      </c>
    </row>
    <row r="70" spans="1:19" x14ac:dyDescent="0.35">
      <c r="A70" s="3" t="s">
        <v>139</v>
      </c>
      <c r="B70" s="3" t="s">
        <v>140</v>
      </c>
      <c r="C70" s="3">
        <v>9.9809603925663203E-3</v>
      </c>
      <c r="D70" s="3">
        <v>-1.4945164900000001</v>
      </c>
      <c r="E70" s="3">
        <v>-4.2353361200000004</v>
      </c>
      <c r="F70" s="3">
        <v>829523844.70357716</v>
      </c>
      <c r="G70" s="3">
        <v>5959164.1299737599</v>
      </c>
      <c r="H70" s="2">
        <v>83110623835.49733</v>
      </c>
      <c r="I70" s="3">
        <f>CryptoTable[[#This Row],[volume_24h]]/CryptoTable[[#This Row],[circulating_supply]]</f>
        <v>7.1701593069122712E-5</v>
      </c>
      <c r="J70" s="3">
        <f>RANK(CryptoTable[[#This Row],[market_cap]],CryptoTable[market_cap],0)</f>
        <v>69</v>
      </c>
      <c r="K70" s="3" t="str">
        <f t="shared" si="16"/>
        <v>0-0.5</v>
      </c>
      <c r="L70" s="3">
        <f t="shared" si="17"/>
        <v>1.0132390641535281E-2</v>
      </c>
      <c r="M70" s="3">
        <f>C70-CryptoTable[[#This Row],[Previous_Price]]</f>
        <v>-1.5143024896896104E-4</v>
      </c>
      <c r="N70" s="3" t="str">
        <f t="shared" si="18"/>
        <v>&lt;10</v>
      </c>
      <c r="O70" s="3" t="str">
        <f t="shared" si="19"/>
        <v>0-50</v>
      </c>
      <c r="P70" s="3" t="str">
        <f t="shared" si="20"/>
        <v>Others</v>
      </c>
      <c r="Q70" s="3" t="str">
        <f t="shared" si="21"/>
        <v>No</v>
      </c>
      <c r="R70" s="3" t="str">
        <f t="shared" si="22"/>
        <v>&gt; 50</v>
      </c>
      <c r="S70" s="3">
        <f t="shared" si="23"/>
        <v>27980049226.235462</v>
      </c>
    </row>
    <row r="71" spans="1:19" x14ac:dyDescent="0.35">
      <c r="A71" s="3" t="s">
        <v>141</v>
      </c>
      <c r="B71" s="3" t="s">
        <v>142</v>
      </c>
      <c r="C71" s="3">
        <v>9.0396099601772802E-3</v>
      </c>
      <c r="D71" s="3">
        <v>-0.97649660999999999</v>
      </c>
      <c r="E71" s="3">
        <v>-9.6363271299999997</v>
      </c>
      <c r="F71" s="3">
        <v>777271234.64986277</v>
      </c>
      <c r="G71" s="3">
        <v>37555801.632633448</v>
      </c>
      <c r="H71" s="2">
        <v>85985041177</v>
      </c>
      <c r="I71" s="3">
        <f>CryptoTable[[#This Row],[volume_24h]]/CryptoTable[[#This Row],[circulating_supply]]</f>
        <v>4.3677133974181532E-4</v>
      </c>
      <c r="J71" s="3">
        <f>RANK(CryptoTable[[#This Row],[market_cap]],CryptoTable[market_cap],0)</f>
        <v>70</v>
      </c>
      <c r="K71" s="3" t="str">
        <f t="shared" si="16"/>
        <v>0-0.5</v>
      </c>
      <c r="L71" s="3">
        <f t="shared" si="17"/>
        <v>9.1287519131444464E-3</v>
      </c>
      <c r="M71" s="3">
        <f>C71-CryptoTable[[#This Row],[Previous_Price]]</f>
        <v>-8.9141952967166163E-5</v>
      </c>
      <c r="N71" s="3" t="str">
        <f t="shared" si="18"/>
        <v>&lt;10</v>
      </c>
      <c r="O71" s="3" t="str">
        <f t="shared" si="19"/>
        <v>0-50</v>
      </c>
      <c r="P71" s="3" t="str">
        <f t="shared" si="20"/>
        <v>Others</v>
      </c>
      <c r="Q71" s="3" t="str">
        <f t="shared" si="21"/>
        <v>No</v>
      </c>
      <c r="R71" s="3" t="str">
        <f t="shared" si="22"/>
        <v>&gt; 50</v>
      </c>
      <c r="S71" s="3">
        <f t="shared" si="23"/>
        <v>28920770803.557789</v>
      </c>
    </row>
    <row r="72" spans="1:19" x14ac:dyDescent="0.35">
      <c r="A72" s="3" t="s">
        <v>143</v>
      </c>
      <c r="B72" s="3" t="s">
        <v>144</v>
      </c>
      <c r="C72" s="3">
        <v>39.201389512446255</v>
      </c>
      <c r="D72" s="3">
        <v>-12.625485019999999</v>
      </c>
      <c r="E72" s="3">
        <v>-22.006666150000001</v>
      </c>
      <c r="F72" s="3">
        <v>768347234.4439466</v>
      </c>
      <c r="G72" s="3">
        <v>97681165.133685306</v>
      </c>
      <c r="H72" s="2">
        <v>19600000</v>
      </c>
      <c r="I72" s="3">
        <f>CryptoTable[[#This Row],[volume_24h]]/CryptoTable[[#This Row],[circulating_supply]]</f>
        <v>4.9837329149839444</v>
      </c>
      <c r="J72" s="3">
        <f>RANK(CryptoTable[[#This Row],[market_cap]],CryptoTable[market_cap],0)</f>
        <v>71</v>
      </c>
      <c r="K72" s="3" t="str">
        <f t="shared" si="16"/>
        <v>10-100</v>
      </c>
      <c r="L72" s="3">
        <f t="shared" si="17"/>
        <v>44.86593089692051</v>
      </c>
      <c r="M72" s="3">
        <f>C72-CryptoTable[[#This Row],[Previous_Price]]</f>
        <v>-5.6645413844742549</v>
      </c>
      <c r="N72" s="3" t="str">
        <f t="shared" si="18"/>
        <v>&gt;=10</v>
      </c>
      <c r="O72" s="3" t="str">
        <f t="shared" si="19"/>
        <v>0-50</v>
      </c>
      <c r="P72" s="3" t="str">
        <f t="shared" si="20"/>
        <v>Others</v>
      </c>
      <c r="Q72" s="3" t="str">
        <f t="shared" si="21"/>
        <v>No</v>
      </c>
      <c r="R72" s="3" t="str">
        <f t="shared" si="22"/>
        <v>&gt; 50</v>
      </c>
      <c r="S72" s="3">
        <f t="shared" si="23"/>
        <v>262649073.93948719</v>
      </c>
    </row>
    <row r="73" spans="1:19" x14ac:dyDescent="0.35">
      <c r="A73" s="3" t="s">
        <v>145</v>
      </c>
      <c r="B73" s="3" t="s">
        <v>146</v>
      </c>
      <c r="C73" s="3">
        <v>0.99857631851329598</v>
      </c>
      <c r="D73" s="3">
        <v>1.7604849999999998E-2</v>
      </c>
      <c r="E73" s="3">
        <v>2.01326E-2</v>
      </c>
      <c r="F73" s="3">
        <v>758818162.46255612</v>
      </c>
      <c r="G73" s="3">
        <v>31134454.36426704</v>
      </c>
      <c r="H73" s="2">
        <v>759900018.04999995</v>
      </c>
      <c r="I73" s="3">
        <f>CryptoTable[[#This Row],[volume_24h]]/CryptoTable[[#This Row],[circulating_supply]]</f>
        <v>4.0971777371662667E-2</v>
      </c>
      <c r="J73" s="3">
        <f>RANK(CryptoTable[[#This Row],[market_cap]],CryptoTable[market_cap],0)</f>
        <v>72</v>
      </c>
      <c r="K73" s="3" t="str">
        <f t="shared" si="16"/>
        <v>0.5-1</v>
      </c>
      <c r="L73" s="3">
        <f t="shared" si="17"/>
        <v>0.99840055159378871</v>
      </c>
      <c r="M73" s="3">
        <f>C73-CryptoTable[[#This Row],[Previous_Price]]</f>
        <v>1.7576691950726975E-4</v>
      </c>
      <c r="N73" s="3" t="str">
        <f t="shared" si="18"/>
        <v>&lt;10</v>
      </c>
      <c r="O73" s="3" t="str">
        <f t="shared" si="19"/>
        <v>0-50</v>
      </c>
      <c r="P73" s="3" t="str">
        <f t="shared" si="20"/>
        <v>Others</v>
      </c>
      <c r="Q73" s="3" t="str">
        <f t="shared" si="21"/>
        <v>Yes</v>
      </c>
      <c r="R73" s="3" t="str">
        <f t="shared" si="22"/>
        <v>&gt; 50</v>
      </c>
      <c r="S73" s="3">
        <f t="shared" si="23"/>
        <v>506239393.51005363</v>
      </c>
    </row>
    <row r="74" spans="1:19" x14ac:dyDescent="0.35">
      <c r="A74" s="3" t="s">
        <v>147</v>
      </c>
      <c r="B74" s="3" t="s">
        <v>148</v>
      </c>
      <c r="C74" s="3">
        <v>3.7262840481056055E-2</v>
      </c>
      <c r="D74" s="3">
        <v>-0.48806140999999997</v>
      </c>
      <c r="E74" s="3">
        <v>-1.9981163</v>
      </c>
      <c r="F74" s="3">
        <v>711248747.38041914</v>
      </c>
      <c r="G74" s="3">
        <v>25398496.515606791</v>
      </c>
      <c r="H74" s="2">
        <v>19087346487.77</v>
      </c>
      <c r="I74" s="3">
        <f>CryptoTable[[#This Row],[volume_24h]]/CryptoTable[[#This Row],[circulating_supply]]</f>
        <v>1.3306457517225135E-3</v>
      </c>
      <c r="J74" s="3">
        <f>RANK(CryptoTable[[#This Row],[market_cap]],CryptoTable[market_cap],0)</f>
        <v>73</v>
      </c>
      <c r="K74" s="3" t="str">
        <f t="shared" si="16"/>
        <v>0-0.5</v>
      </c>
      <c r="L74" s="3">
        <f t="shared" si="17"/>
        <v>3.7445597994611488E-2</v>
      </c>
      <c r="M74" s="3">
        <f>C74-CryptoTable[[#This Row],[Previous_Price]]</f>
        <v>-1.8275751355543296E-4</v>
      </c>
      <c r="N74" s="3" t="str">
        <f t="shared" si="18"/>
        <v>&lt;10</v>
      </c>
      <c r="O74" s="3" t="str">
        <f t="shared" si="19"/>
        <v>0-50</v>
      </c>
      <c r="P74" s="3" t="str">
        <f t="shared" si="20"/>
        <v>Others</v>
      </c>
      <c r="Q74" s="3" t="str">
        <f t="shared" si="21"/>
        <v>No</v>
      </c>
      <c r="R74" s="3" t="str">
        <f t="shared" si="22"/>
        <v>&gt; 50</v>
      </c>
      <c r="S74" s="3">
        <f t="shared" si="23"/>
        <v>6599531744.8874521</v>
      </c>
    </row>
    <row r="75" spans="1:19" x14ac:dyDescent="0.35">
      <c r="A75" s="3" t="s">
        <v>149</v>
      </c>
      <c r="B75" s="3" t="s">
        <v>150</v>
      </c>
      <c r="C75" s="3">
        <v>7.9339671315187315E-6</v>
      </c>
      <c r="D75" s="3">
        <v>-1.18429172</v>
      </c>
      <c r="E75" s="3">
        <v>-6.20754071</v>
      </c>
      <c r="F75" s="3">
        <v>698150717.23534107</v>
      </c>
      <c r="G75" s="3">
        <v>122270868.83530967</v>
      </c>
      <c r="H75" s="2">
        <v>87995161268294.797</v>
      </c>
      <c r="I75" s="3">
        <f>CryptoTable[[#This Row],[volume_24h]]/CryptoTable[[#This Row],[circulating_supply]]</f>
        <v>1.3895180947792025E-6</v>
      </c>
      <c r="J75" s="3">
        <f>RANK(CryptoTable[[#This Row],[market_cap]],CryptoTable[market_cap],0)</f>
        <v>74</v>
      </c>
      <c r="K75" s="3" t="str">
        <f t="shared" si="16"/>
        <v>0-0.5</v>
      </c>
      <c r="L75" s="3">
        <f t="shared" si="17"/>
        <v>8.0290545598655016E-6</v>
      </c>
      <c r="M75" s="3">
        <f>C75-CryptoTable[[#This Row],[Previous_Price]]</f>
        <v>-9.5087428346770075E-8</v>
      </c>
      <c r="N75" s="3" t="str">
        <f t="shared" si="18"/>
        <v>&lt;10</v>
      </c>
      <c r="O75" s="3" t="str">
        <f t="shared" si="19"/>
        <v>0-50</v>
      </c>
      <c r="P75" s="3" t="str">
        <f t="shared" si="20"/>
        <v>Others</v>
      </c>
      <c r="Q75" s="3" t="str">
        <f t="shared" si="21"/>
        <v>Yes</v>
      </c>
      <c r="R75" s="3" t="str">
        <f t="shared" si="22"/>
        <v>&gt; 50</v>
      </c>
      <c r="S75" s="3">
        <f t="shared" si="23"/>
        <v>29331953139670.281</v>
      </c>
    </row>
    <row r="76" spans="1:19" x14ac:dyDescent="0.35">
      <c r="A76" s="3" t="s">
        <v>151</v>
      </c>
      <c r="B76" s="3" t="s">
        <v>152</v>
      </c>
      <c r="C76" s="3">
        <v>51.456370924058611</v>
      </c>
      <c r="D76" s="3">
        <v>-2.0481614399999999</v>
      </c>
      <c r="E76" s="3">
        <v>-8.4547506600000002</v>
      </c>
      <c r="F76" s="3">
        <v>647009684.12982953</v>
      </c>
      <c r="G76" s="3">
        <v>174814567.73165536</v>
      </c>
      <c r="H76" s="2">
        <v>12573947.064489109</v>
      </c>
      <c r="I76" s="3">
        <f>CryptoTable[[#This Row],[volume_24h]]/CryptoTable[[#This Row],[circulating_supply]]</f>
        <v>13.902919014615577</v>
      </c>
      <c r="J76" s="3">
        <f>RANK(CryptoTable[[#This Row],[market_cap]],CryptoTable[market_cap],0)</f>
        <v>75</v>
      </c>
      <c r="K76" s="3" t="str">
        <f t="shared" si="16"/>
        <v>10-100</v>
      </c>
      <c r="L76" s="3">
        <f t="shared" si="17"/>
        <v>52.532317596610724</v>
      </c>
      <c r="M76" s="3">
        <f>C76-CryptoTable[[#This Row],[Previous_Price]]</f>
        <v>-1.0759466725521136</v>
      </c>
      <c r="N76" s="3" t="str">
        <f t="shared" si="18"/>
        <v>&gt;=10</v>
      </c>
      <c r="O76" s="3" t="str">
        <f t="shared" si="19"/>
        <v>&gt;50</v>
      </c>
      <c r="P76" s="3" t="str">
        <f t="shared" si="20"/>
        <v>Others</v>
      </c>
      <c r="Q76" s="3" t="str">
        <f t="shared" si="21"/>
        <v>Yes</v>
      </c>
      <c r="R76" s="3" t="str">
        <f t="shared" si="22"/>
        <v>&gt; 50</v>
      </c>
      <c r="S76" s="3">
        <f t="shared" si="23"/>
        <v>219861209.71538576</v>
      </c>
    </row>
    <row r="77" spans="1:19" x14ac:dyDescent="0.35">
      <c r="A77" s="3" t="s">
        <v>153</v>
      </c>
      <c r="B77" s="3" t="s">
        <v>154</v>
      </c>
      <c r="C77" s="3">
        <v>1.8013983403905107</v>
      </c>
      <c r="D77" s="3">
        <v>-2.9285333599999999</v>
      </c>
      <c r="E77" s="3">
        <v>-9.8702482899999993</v>
      </c>
      <c r="F77" s="3">
        <v>629635023.10942495</v>
      </c>
      <c r="G77" s="3">
        <v>196089281.76956072</v>
      </c>
      <c r="H77" s="2">
        <v>349525704</v>
      </c>
      <c r="I77" s="3">
        <f>CryptoTable[[#This Row],[volume_24h]]/CryptoTable[[#This Row],[circulating_supply]]</f>
        <v>0.56101534028971078</v>
      </c>
      <c r="J77" s="3">
        <f>RANK(CryptoTable[[#This Row],[market_cap]],CryptoTable[market_cap],0)</f>
        <v>76</v>
      </c>
      <c r="K77" s="3" t="str">
        <f t="shared" si="16"/>
        <v>1-2</v>
      </c>
      <c r="L77" s="3">
        <f t="shared" si="17"/>
        <v>1.8557444352532455</v>
      </c>
      <c r="M77" s="3">
        <f>C77-CryptoTable[[#This Row],[Previous_Price]]</f>
        <v>-5.4346094862734784E-2</v>
      </c>
      <c r="N77" s="3" t="str">
        <f t="shared" si="18"/>
        <v>&lt;10</v>
      </c>
      <c r="O77" s="3" t="str">
        <f t="shared" si="19"/>
        <v>0-50</v>
      </c>
      <c r="P77" s="3" t="str">
        <f t="shared" si="20"/>
        <v>Others</v>
      </c>
      <c r="Q77" s="3" t="str">
        <f t="shared" si="21"/>
        <v>No</v>
      </c>
      <c r="R77" s="3" t="str">
        <f t="shared" si="22"/>
        <v>&gt; 50</v>
      </c>
      <c r="S77" s="3">
        <f t="shared" si="23"/>
        <v>326386908.06029719</v>
      </c>
    </row>
    <row r="78" spans="1:19" x14ac:dyDescent="0.35">
      <c r="A78" s="3" t="s">
        <v>155</v>
      </c>
      <c r="B78" s="3" t="s">
        <v>156</v>
      </c>
      <c r="C78" s="3">
        <v>9.4812789733060301E-2</v>
      </c>
      <c r="D78" s="3">
        <v>-0.62072738999999999</v>
      </c>
      <c r="E78" s="3">
        <v>-9.9625916700000001</v>
      </c>
      <c r="F78" s="3">
        <v>626923235.20275474</v>
      </c>
      <c r="G78" s="3">
        <v>73758831.024411201</v>
      </c>
      <c r="H78" s="2">
        <v>6612222222</v>
      </c>
      <c r="I78" s="3">
        <f>CryptoTable[[#This Row],[volume_24h]]/CryptoTable[[#This Row],[circulating_supply]]</f>
        <v>1.1154923193446659E-2</v>
      </c>
      <c r="J78" s="3">
        <f>RANK(CryptoTable[[#This Row],[market_cap]],CryptoTable[market_cap],0)</f>
        <v>77</v>
      </c>
      <c r="K78" s="3" t="str">
        <f t="shared" si="16"/>
        <v>0-0.5</v>
      </c>
      <c r="L78" s="3">
        <f t="shared" si="17"/>
        <v>9.5404994666382581E-2</v>
      </c>
      <c r="M78" s="3">
        <f>C78-CryptoTable[[#This Row],[Previous_Price]]</f>
        <v>-5.9220493332227953E-4</v>
      </c>
      <c r="N78" s="3" t="str">
        <f t="shared" si="18"/>
        <v>&lt;10</v>
      </c>
      <c r="O78" s="3" t="str">
        <f t="shared" si="19"/>
        <v>0-50</v>
      </c>
      <c r="P78" s="3" t="str">
        <f t="shared" si="20"/>
        <v>Others</v>
      </c>
      <c r="Q78" s="3" t="str">
        <f t="shared" si="21"/>
        <v>No</v>
      </c>
      <c r="R78" s="3" t="str">
        <f t="shared" si="22"/>
        <v>&gt; 50</v>
      </c>
      <c r="S78" s="3">
        <f t="shared" si="23"/>
        <v>2413048485.5273423</v>
      </c>
    </row>
    <row r="79" spans="1:19" x14ac:dyDescent="0.35">
      <c r="A79" s="3" t="s">
        <v>157</v>
      </c>
      <c r="B79" s="3" t="s">
        <v>158</v>
      </c>
      <c r="C79" s="3">
        <v>0.19190718170781804</v>
      </c>
      <c r="D79" s="3">
        <v>-1.1250583300000001</v>
      </c>
      <c r="E79" s="3">
        <v>-9.0432737900000006</v>
      </c>
      <c r="F79" s="3">
        <v>622526036.16694534</v>
      </c>
      <c r="G79" s="3">
        <v>46483696.479856811</v>
      </c>
      <c r="H79" s="2">
        <v>3243891294.8800001</v>
      </c>
      <c r="I79" s="3">
        <f>CryptoTable[[#This Row],[volume_24h]]/CryptoTable[[#This Row],[circulating_supply]]</f>
        <v>1.4329609797105227E-2</v>
      </c>
      <c r="J79" s="3">
        <f>RANK(CryptoTable[[#This Row],[market_cap]],CryptoTable[market_cap],0)</f>
        <v>78</v>
      </c>
      <c r="K79" s="3" t="str">
        <f t="shared" si="16"/>
        <v>0-0.5</v>
      </c>
      <c r="L79" s="3">
        <f t="shared" si="17"/>
        <v>0.19409081660782943</v>
      </c>
      <c r="M79" s="3">
        <f>C79-CryptoTable[[#This Row],[Previous_Price]]</f>
        <v>-2.1836349000113886E-3</v>
      </c>
      <c r="N79" s="3" t="str">
        <f t="shared" si="18"/>
        <v>&lt;10</v>
      </c>
      <c r="O79" s="3" t="str">
        <f t="shared" si="19"/>
        <v>0-50</v>
      </c>
      <c r="P79" s="3" t="str">
        <f t="shared" si="20"/>
        <v>Others</v>
      </c>
      <c r="Q79" s="3" t="str">
        <f t="shared" si="21"/>
        <v>No</v>
      </c>
      <c r="R79" s="3" t="str">
        <f t="shared" si="22"/>
        <v>&gt; 50</v>
      </c>
      <c r="S79" s="3">
        <f t="shared" si="23"/>
        <v>1288805776.6406291</v>
      </c>
    </row>
    <row r="80" spans="1:19" x14ac:dyDescent="0.35">
      <c r="A80" s="3" t="s">
        <v>159</v>
      </c>
      <c r="B80" s="3" t="s">
        <v>160</v>
      </c>
      <c r="C80" s="3">
        <v>1.9701688463937614</v>
      </c>
      <c r="D80" s="3">
        <v>-1.3422722</v>
      </c>
      <c r="E80" s="3">
        <v>-3.4091904099999999</v>
      </c>
      <c r="F80" s="3">
        <v>582936810.69097626</v>
      </c>
      <c r="G80" s="3">
        <v>159382475.48678178</v>
      </c>
      <c r="H80" s="2">
        <v>295881650.83312333</v>
      </c>
      <c r="I80" s="3">
        <f>CryptoTable[[#This Row],[volume_24h]]/CryptoTable[[#This Row],[circulating_supply]]</f>
        <v>0.53866968444309915</v>
      </c>
      <c r="J80" s="3">
        <f>RANK(CryptoTable[[#This Row],[market_cap]],CryptoTable[market_cap],0)</f>
        <v>79</v>
      </c>
      <c r="K80" s="3" t="str">
        <f t="shared" si="16"/>
        <v>1-2</v>
      </c>
      <c r="L80" s="3">
        <f t="shared" si="17"/>
        <v>1.9969736687912667</v>
      </c>
      <c r="M80" s="3">
        <f>C80-CryptoTable[[#This Row],[Previous_Price]]</f>
        <v>-2.6804822397505257E-2</v>
      </c>
      <c r="N80" s="3" t="str">
        <f t="shared" si="18"/>
        <v>&lt;10</v>
      </c>
      <c r="O80" s="3" t="str">
        <f t="shared" si="19"/>
        <v>0-50</v>
      </c>
      <c r="P80" s="3" t="str">
        <f t="shared" si="20"/>
        <v>Others</v>
      </c>
      <c r="Q80" s="3" t="str">
        <f t="shared" si="21"/>
        <v>No</v>
      </c>
      <c r="R80" s="3" t="str">
        <f t="shared" si="22"/>
        <v>&gt; 50</v>
      </c>
      <c r="S80" s="3">
        <f t="shared" si="23"/>
        <v>292939486.72727579</v>
      </c>
    </row>
    <row r="81" spans="1:19" x14ac:dyDescent="0.35">
      <c r="A81" s="3" t="s">
        <v>161</v>
      </c>
      <c r="B81" s="3" t="s">
        <v>162</v>
      </c>
      <c r="C81" s="3">
        <v>0.88847910298653665</v>
      </c>
      <c r="D81" s="3">
        <v>-0.74863303000000003</v>
      </c>
      <c r="E81" s="3">
        <v>-4.1026607500000001</v>
      </c>
      <c r="F81" s="3">
        <v>574087075.94379854</v>
      </c>
      <c r="G81" s="3">
        <v>11684178.41708624</v>
      </c>
      <c r="H81" s="2">
        <v>646145839.57468474</v>
      </c>
      <c r="I81" s="3">
        <f>CryptoTable[[#This Row],[volume_24h]]/CryptoTable[[#This Row],[circulating_supply]]</f>
        <v>1.8082881141472898E-2</v>
      </c>
      <c r="J81" s="3">
        <f>RANK(CryptoTable[[#This Row],[market_cap]],CryptoTable[market_cap],0)</f>
        <v>80</v>
      </c>
      <c r="K81" s="3" t="str">
        <f t="shared" si="16"/>
        <v>0.5-1</v>
      </c>
      <c r="L81" s="3">
        <f t="shared" si="17"/>
        <v>0.89518072154622397</v>
      </c>
      <c r="M81" s="3">
        <f>C81-CryptoTable[[#This Row],[Previous_Price]]</f>
        <v>-6.7016185596873168E-3</v>
      </c>
      <c r="N81" s="3" t="str">
        <f t="shared" si="18"/>
        <v>&lt;10</v>
      </c>
      <c r="O81" s="3" t="str">
        <f t="shared" si="19"/>
        <v>0-50</v>
      </c>
      <c r="P81" s="3" t="str">
        <f t="shared" si="20"/>
        <v>Others</v>
      </c>
      <c r="Q81" s="3" t="str">
        <f t="shared" si="21"/>
        <v>No</v>
      </c>
      <c r="R81" s="3" t="str">
        <f t="shared" si="22"/>
        <v>&gt; 50</v>
      </c>
      <c r="S81" s="3">
        <f t="shared" si="23"/>
        <v>406744304.9232834</v>
      </c>
    </row>
    <row r="82" spans="1:19" x14ac:dyDescent="0.35">
      <c r="A82" s="3" t="s">
        <v>163</v>
      </c>
      <c r="B82" s="3" t="s">
        <v>164</v>
      </c>
      <c r="C82" s="3">
        <v>1.6857236586128312</v>
      </c>
      <c r="D82" s="3">
        <v>-1.13323708</v>
      </c>
      <c r="E82" s="3">
        <v>-10.583788930000001</v>
      </c>
      <c r="F82" s="3">
        <v>562189553.96812117</v>
      </c>
      <c r="G82" s="3">
        <v>68818940.942027748</v>
      </c>
      <c r="H82" s="2">
        <v>333500423.45062804</v>
      </c>
      <c r="I82" s="3">
        <f>CryptoTable[[#This Row],[volume_24h]]/CryptoTable[[#This Row],[circulating_supply]]</f>
        <v>0.20635338399267675</v>
      </c>
      <c r="J82" s="3">
        <f>RANK(CryptoTable[[#This Row],[market_cap]],CryptoTable[market_cap],0)</f>
        <v>81</v>
      </c>
      <c r="K82" s="3" t="str">
        <f t="shared" si="16"/>
        <v>1-2</v>
      </c>
      <c r="L82" s="3">
        <f t="shared" si="17"/>
        <v>1.7050458706500464</v>
      </c>
      <c r="M82" s="3">
        <f>C82-CryptoTable[[#This Row],[Previous_Price]]</f>
        <v>-1.9322212037215181E-2</v>
      </c>
      <c r="N82" s="3" t="str">
        <f t="shared" si="18"/>
        <v>&lt;10</v>
      </c>
      <c r="O82" s="3" t="str">
        <f t="shared" si="19"/>
        <v>0-50</v>
      </c>
      <c r="P82" s="3" t="str">
        <f t="shared" si="20"/>
        <v>Others</v>
      </c>
      <c r="Q82" s="3" t="str">
        <f t="shared" si="21"/>
        <v>No</v>
      </c>
      <c r="R82" s="3" t="str">
        <f t="shared" si="22"/>
        <v>&gt; 50</v>
      </c>
      <c r="S82" s="3">
        <f t="shared" si="23"/>
        <v>298563325.42850405</v>
      </c>
    </row>
    <row r="83" spans="1:19" x14ac:dyDescent="0.35">
      <c r="A83" s="3" t="s">
        <v>165</v>
      </c>
      <c r="B83" s="3" t="s">
        <v>166</v>
      </c>
      <c r="C83" s="3">
        <v>8.700447521373644E-3</v>
      </c>
      <c r="D83" s="3">
        <v>-0.88645600999999996</v>
      </c>
      <c r="E83" s="3">
        <v>-10.543163229999999</v>
      </c>
      <c r="F83" s="3">
        <v>546913577.35415399</v>
      </c>
      <c r="G83" s="3">
        <v>190171633.99365863</v>
      </c>
      <c r="H83" s="2">
        <v>62860396090.040001</v>
      </c>
      <c r="I83" s="3">
        <f>CryptoTable[[#This Row],[volume_24h]]/CryptoTable[[#This Row],[circulating_supply]]</f>
        <v>3.0253012361115337E-3</v>
      </c>
      <c r="J83" s="3">
        <f>RANK(CryptoTable[[#This Row],[market_cap]],CryptoTable[market_cap],0)</f>
        <v>82</v>
      </c>
      <c r="K83" s="3" t="str">
        <f t="shared" si="16"/>
        <v>0-0.5</v>
      </c>
      <c r="L83" s="3">
        <f t="shared" si="17"/>
        <v>8.7782629609647195E-3</v>
      </c>
      <c r="M83" s="3">
        <f>C83-CryptoTable[[#This Row],[Previous_Price]]</f>
        <v>-7.7815439591075522E-5</v>
      </c>
      <c r="N83" s="3" t="str">
        <f t="shared" si="18"/>
        <v>&lt;10</v>
      </c>
      <c r="O83" s="3" t="str">
        <f t="shared" si="19"/>
        <v>0-50</v>
      </c>
      <c r="P83" s="3" t="str">
        <f t="shared" si="20"/>
        <v>Others</v>
      </c>
      <c r="Q83" s="3" t="str">
        <f t="shared" si="21"/>
        <v>No</v>
      </c>
      <c r="R83" s="3" t="str">
        <f t="shared" si="22"/>
        <v>&gt; 50</v>
      </c>
      <c r="S83" s="3">
        <f t="shared" si="23"/>
        <v>21135769888.835899</v>
      </c>
    </row>
    <row r="84" spans="1:19" x14ac:dyDescent="0.35">
      <c r="A84" s="3" t="s">
        <v>167</v>
      </c>
      <c r="B84" s="3" t="s">
        <v>168</v>
      </c>
      <c r="C84" s="3">
        <v>0.49812052985035837</v>
      </c>
      <c r="D84" s="3">
        <v>-0.19850988</v>
      </c>
      <c r="E84" s="3">
        <v>-4.6145860000000001</v>
      </c>
      <c r="F84" s="3">
        <v>534850840.58842868</v>
      </c>
      <c r="G84" s="3">
        <v>26498126.866404489</v>
      </c>
      <c r="H84" s="2">
        <v>1073737797.454573</v>
      </c>
      <c r="I84" s="3">
        <f>CryptoTable[[#This Row],[volume_24h]]/CryptoTable[[#This Row],[circulating_supply]]</f>
        <v>2.4678396280005736E-2</v>
      </c>
      <c r="J84" s="3">
        <f>RANK(CryptoTable[[#This Row],[market_cap]],CryptoTable[market_cap],0)</f>
        <v>83</v>
      </c>
      <c r="K84" s="3" t="str">
        <f t="shared" si="16"/>
        <v>0-0.5</v>
      </c>
      <c r="L84" s="3">
        <f t="shared" si="17"/>
        <v>0.49911131512307561</v>
      </c>
      <c r="M84" s="3">
        <f>C84-CryptoTable[[#This Row],[Previous_Price]]</f>
        <v>-9.9078527271723171E-4</v>
      </c>
      <c r="N84" s="3" t="str">
        <f t="shared" si="18"/>
        <v>&lt;10</v>
      </c>
      <c r="O84" s="3" t="str">
        <f t="shared" si="19"/>
        <v>0-50</v>
      </c>
      <c r="P84" s="3" t="str">
        <f t="shared" si="20"/>
        <v>Others</v>
      </c>
      <c r="Q84" s="3" t="str">
        <f t="shared" si="21"/>
        <v>No</v>
      </c>
      <c r="R84" s="3" t="str">
        <f t="shared" si="22"/>
        <v>&gt; 50</v>
      </c>
      <c r="S84" s="3">
        <f t="shared" si="23"/>
        <v>536196212.61483067</v>
      </c>
    </row>
    <row r="85" spans="1:19" x14ac:dyDescent="0.35">
      <c r="A85" s="3" t="s">
        <v>169</v>
      </c>
      <c r="B85" s="3" t="s">
        <v>170</v>
      </c>
      <c r="C85" s="3">
        <v>0.26155953450679315</v>
      </c>
      <c r="D85" s="3">
        <v>-0.66372089999999995</v>
      </c>
      <c r="E85" s="3">
        <v>-9.6686903300000004</v>
      </c>
      <c r="F85" s="3">
        <v>508495928.55346912</v>
      </c>
      <c r="G85" s="3">
        <v>122632451.98881921</v>
      </c>
      <c r="H85" s="2">
        <v>1944092497</v>
      </c>
      <c r="I85" s="3">
        <f>CryptoTable[[#This Row],[volume_24h]]/CryptoTable[[#This Row],[circulating_supply]]</f>
        <v>6.3079535658955438E-2</v>
      </c>
      <c r="J85" s="3">
        <f>RANK(CryptoTable[[#This Row],[market_cap]],CryptoTable[market_cap],0)</f>
        <v>84</v>
      </c>
      <c r="K85" s="3" t="str">
        <f t="shared" si="16"/>
        <v>0-0.5</v>
      </c>
      <c r="L85" s="3">
        <f t="shared" si="17"/>
        <v>0.26330715915328978</v>
      </c>
      <c r="M85" s="3">
        <f>C85-CryptoTable[[#This Row],[Previous_Price]]</f>
        <v>-1.7476246464966372E-3</v>
      </c>
      <c r="N85" s="3" t="str">
        <f t="shared" si="18"/>
        <v>&lt;10</v>
      </c>
      <c r="O85" s="3" t="str">
        <f t="shared" si="19"/>
        <v>0-50</v>
      </c>
      <c r="P85" s="3" t="str">
        <f t="shared" si="20"/>
        <v>Others</v>
      </c>
      <c r="Q85" s="3" t="str">
        <f t="shared" si="21"/>
        <v>Yes</v>
      </c>
      <c r="R85" s="3" t="str">
        <f t="shared" si="22"/>
        <v>&gt; 50</v>
      </c>
      <c r="S85" s="3">
        <f t="shared" si="23"/>
        <v>817529474.96324933</v>
      </c>
    </row>
    <row r="86" spans="1:19" x14ac:dyDescent="0.35">
      <c r="A86" s="3" t="s">
        <v>171</v>
      </c>
      <c r="B86" s="3" t="s">
        <v>172</v>
      </c>
      <c r="C86" s="3">
        <v>0.27630398484763985</v>
      </c>
      <c r="D86" s="3">
        <v>-0.31912283000000002</v>
      </c>
      <c r="E86" s="3">
        <v>-5.4862534600000004</v>
      </c>
      <c r="F86" s="3">
        <v>501382810.20462471</v>
      </c>
      <c r="G86" s="3">
        <v>19036360.917030942</v>
      </c>
      <c r="H86" s="2">
        <v>1814605788.19049</v>
      </c>
      <c r="I86" s="3">
        <f>CryptoTable[[#This Row],[volume_24h]]/CryptoTable[[#This Row],[circulating_supply]]</f>
        <v>1.0490631651745057E-2</v>
      </c>
      <c r="J86" s="3">
        <f>RANK(CryptoTable[[#This Row],[market_cap]],CryptoTable[market_cap],0)</f>
        <v>85</v>
      </c>
      <c r="K86" s="3" t="str">
        <f t="shared" si="16"/>
        <v>0-0.5</v>
      </c>
      <c r="L86" s="3">
        <f t="shared" si="17"/>
        <v>0.27718855681458271</v>
      </c>
      <c r="M86" s="3">
        <f>C86-CryptoTable[[#This Row],[Previous_Price]]</f>
        <v>-8.8457196694285978E-4</v>
      </c>
      <c r="N86" s="3" t="str">
        <f t="shared" si="18"/>
        <v>&lt;10</v>
      </c>
      <c r="O86" s="3" t="str">
        <f t="shared" si="19"/>
        <v>0-50</v>
      </c>
      <c r="P86" s="3" t="str">
        <f t="shared" si="20"/>
        <v>Others</v>
      </c>
      <c r="Q86" s="3" t="str">
        <f t="shared" si="21"/>
        <v>No</v>
      </c>
      <c r="R86" s="3" t="str">
        <f t="shared" si="22"/>
        <v>&gt; 50</v>
      </c>
      <c r="S86" s="3">
        <f t="shared" si="23"/>
        <v>771996199.35866392</v>
      </c>
    </row>
    <row r="87" spans="1:19" x14ac:dyDescent="0.35">
      <c r="A87" s="3" t="s">
        <v>173</v>
      </c>
      <c r="B87" s="3" t="s">
        <v>174</v>
      </c>
      <c r="C87" s="3">
        <v>4.830026058737949E-2</v>
      </c>
      <c r="D87" s="3">
        <v>0.57748657999999997</v>
      </c>
      <c r="E87" s="3">
        <v>-9.0363152499999995</v>
      </c>
      <c r="F87" s="3">
        <v>494903521.14667428</v>
      </c>
      <c r="G87" s="3">
        <v>161436406.74625382</v>
      </c>
      <c r="H87" s="2">
        <v>10246394432</v>
      </c>
      <c r="I87" s="3">
        <f>CryptoTable[[#This Row],[volume_24h]]/CryptoTable[[#This Row],[circulating_supply]]</f>
        <v>1.5755435516134328E-2</v>
      </c>
      <c r="J87" s="3">
        <f>RANK(CryptoTable[[#This Row],[market_cap]],CryptoTable[market_cap],0)</f>
        <v>86</v>
      </c>
      <c r="K87" s="3" t="str">
        <f t="shared" si="16"/>
        <v>0-0.5</v>
      </c>
      <c r="L87" s="3">
        <f t="shared" si="17"/>
        <v>4.8022934584829917E-2</v>
      </c>
      <c r="M87" s="3">
        <f>C87-CryptoTable[[#This Row],[Previous_Price]]</f>
        <v>2.7732600254957301E-4</v>
      </c>
      <c r="N87" s="3" t="str">
        <f t="shared" si="18"/>
        <v>&lt;10</v>
      </c>
      <c r="O87" s="3" t="str">
        <f t="shared" si="19"/>
        <v>0-50</v>
      </c>
      <c r="P87" s="3" t="str">
        <f t="shared" si="20"/>
        <v>Others</v>
      </c>
      <c r="Q87" s="3" t="str">
        <f t="shared" si="21"/>
        <v>Yes</v>
      </c>
      <c r="R87" s="3" t="str">
        <f t="shared" si="22"/>
        <v>&gt; 50</v>
      </c>
      <c r="S87" s="3">
        <f t="shared" si="23"/>
        <v>3580432651.2413869</v>
      </c>
    </row>
    <row r="88" spans="1:19" x14ac:dyDescent="0.35">
      <c r="A88" s="3" t="s">
        <v>175</v>
      </c>
      <c r="B88" s="3" t="s">
        <v>176</v>
      </c>
      <c r="C88" s="3">
        <v>0.99773379909180548</v>
      </c>
      <c r="D88" s="3">
        <v>4.4999299999999999E-2</v>
      </c>
      <c r="E88" s="3">
        <v>-4.2562219999999998E-2</v>
      </c>
      <c r="F88" s="3">
        <v>493394412.46978951</v>
      </c>
      <c r="G88" s="3">
        <v>20973837.145350941</v>
      </c>
      <c r="H88" s="2">
        <v>494515083</v>
      </c>
      <c r="I88" s="3">
        <f>CryptoTable[[#This Row],[volume_24h]]/CryptoTable[[#This Row],[circulating_supply]]</f>
        <v>4.2412937170919297E-2</v>
      </c>
      <c r="J88" s="3">
        <f>RANK(CryptoTable[[#This Row],[market_cap]],CryptoTable[market_cap],0)</f>
        <v>87</v>
      </c>
      <c r="K88" s="3" t="str">
        <f t="shared" si="16"/>
        <v>0.5-1</v>
      </c>
      <c r="L88" s="3">
        <f t="shared" si="17"/>
        <v>0.99728502781028616</v>
      </c>
      <c r="M88" s="3">
        <f>C88-CryptoTable[[#This Row],[Previous_Price]]</f>
        <v>4.4877128151932233E-4</v>
      </c>
      <c r="N88" s="3" t="str">
        <f t="shared" si="18"/>
        <v>&lt;10</v>
      </c>
      <c r="O88" s="3" t="str">
        <f t="shared" si="19"/>
        <v>0-50</v>
      </c>
      <c r="P88" s="3" t="str">
        <f t="shared" si="20"/>
        <v>Others</v>
      </c>
      <c r="Q88" s="3" t="str">
        <f t="shared" si="21"/>
        <v>No</v>
      </c>
      <c r="R88" s="3" t="str">
        <f t="shared" si="22"/>
        <v>&gt; 50</v>
      </c>
      <c r="S88" s="3">
        <f t="shared" si="23"/>
        <v>329303165.17159629</v>
      </c>
    </row>
    <row r="89" spans="1:19" x14ac:dyDescent="0.35">
      <c r="A89" s="3" t="s">
        <v>177</v>
      </c>
      <c r="B89" s="3" t="s">
        <v>178</v>
      </c>
      <c r="C89" s="3">
        <v>0.72624720126033393</v>
      </c>
      <c r="D89" s="3">
        <v>-1.77750432</v>
      </c>
      <c r="E89" s="3">
        <v>-10.619726849999999</v>
      </c>
      <c r="F89" s="3">
        <v>476616154.50715929</v>
      </c>
      <c r="G89" s="3">
        <v>175785820.83735713</v>
      </c>
      <c r="H89" s="2">
        <v>656272621.33339262</v>
      </c>
      <c r="I89" s="3">
        <f>CryptoTable[[#This Row],[volume_24h]]/CryptoTable[[#This Row],[circulating_supply]]</f>
        <v>0.26785487482351683</v>
      </c>
      <c r="J89" s="3">
        <f>RANK(CryptoTable[[#This Row],[market_cap]],CryptoTable[market_cap],0)</f>
        <v>88</v>
      </c>
      <c r="K89" s="3" t="str">
        <f t="shared" si="16"/>
        <v>0.5-1</v>
      </c>
      <c r="L89" s="3">
        <f t="shared" si="17"/>
        <v>0.73938988846952292</v>
      </c>
      <c r="M89" s="3">
        <f>C89-CryptoTable[[#This Row],[Previous_Price]]</f>
        <v>-1.3142687209188986E-2</v>
      </c>
      <c r="N89" s="3" t="str">
        <f t="shared" si="18"/>
        <v>&lt;10</v>
      </c>
      <c r="O89" s="3" t="str">
        <f t="shared" si="19"/>
        <v>0-50</v>
      </c>
      <c r="P89" s="3" t="str">
        <f t="shared" si="20"/>
        <v>Others</v>
      </c>
      <c r="Q89" s="3" t="str">
        <f t="shared" si="21"/>
        <v>No</v>
      </c>
      <c r="R89" s="3" t="str">
        <f t="shared" si="22"/>
        <v>&gt; 50</v>
      </c>
      <c r="S89" s="3">
        <f t="shared" si="23"/>
        <v>377629591.3543492</v>
      </c>
    </row>
    <row r="90" spans="1:19" x14ac:dyDescent="0.35">
      <c r="A90" s="3" t="s">
        <v>179</v>
      </c>
      <c r="B90" s="3" t="s">
        <v>180</v>
      </c>
      <c r="C90" s="3">
        <v>0.20628981860838932</v>
      </c>
      <c r="D90" s="3">
        <v>-1.02204786</v>
      </c>
      <c r="E90" s="3">
        <v>-7.5460197600000001</v>
      </c>
      <c r="F90" s="3">
        <v>471857685.88439196</v>
      </c>
      <c r="G90" s="3">
        <v>66408913.817783423</v>
      </c>
      <c r="H90" s="2">
        <v>2287353244.4184456</v>
      </c>
      <c r="I90" s="3">
        <f>CryptoTable[[#This Row],[volume_24h]]/CryptoTable[[#This Row],[circulating_supply]]</f>
        <v>2.9033081785611009E-2</v>
      </c>
      <c r="J90" s="3">
        <f>RANK(CryptoTable[[#This Row],[market_cap]],CryptoTable[market_cap],0)</f>
        <v>89</v>
      </c>
      <c r="K90" s="3" t="str">
        <f t="shared" si="16"/>
        <v>0-0.5</v>
      </c>
      <c r="L90" s="3">
        <f t="shared" si="17"/>
        <v>0.20841997045625005</v>
      </c>
      <c r="M90" s="3">
        <f>C90-CryptoTable[[#This Row],[Previous_Price]]</f>
        <v>-2.1301518478607229E-3</v>
      </c>
      <c r="N90" s="3" t="str">
        <f t="shared" si="18"/>
        <v>&lt;10</v>
      </c>
      <c r="O90" s="3" t="str">
        <f t="shared" si="19"/>
        <v>0-50</v>
      </c>
      <c r="P90" s="3" t="str">
        <f t="shared" si="20"/>
        <v>Others</v>
      </c>
      <c r="Q90" s="3" t="str">
        <f t="shared" si="21"/>
        <v>Yes</v>
      </c>
      <c r="R90" s="3" t="str">
        <f t="shared" si="22"/>
        <v>&gt; 50</v>
      </c>
      <c r="S90" s="3">
        <f t="shared" si="23"/>
        <v>919736976.42692995</v>
      </c>
    </row>
    <row r="91" spans="1:19" x14ac:dyDescent="0.35">
      <c r="A91" s="3" t="s">
        <v>181</v>
      </c>
      <c r="B91" s="3" t="s">
        <v>182</v>
      </c>
      <c r="C91" s="3">
        <v>0.31553742845272503</v>
      </c>
      <c r="D91" s="3">
        <v>-1.16726956</v>
      </c>
      <c r="E91" s="3">
        <v>-6.5941648600000002</v>
      </c>
      <c r="F91" s="3">
        <v>460728677.12264961</v>
      </c>
      <c r="G91" s="3">
        <v>93621029.395305887</v>
      </c>
      <c r="H91" s="2">
        <v>1460139544.7186313</v>
      </c>
      <c r="I91" s="3">
        <f>CryptoTable[[#This Row],[volume_24h]]/CryptoTable[[#This Row],[circulating_supply]]</f>
        <v>6.4117864442433586E-2</v>
      </c>
      <c r="J91" s="3">
        <f>RANK(CryptoTable[[#This Row],[market_cap]],CryptoTable[market_cap],0)</f>
        <v>90</v>
      </c>
      <c r="K91" s="3" t="str">
        <f t="shared" si="16"/>
        <v>0-0.5</v>
      </c>
      <c r="L91" s="3">
        <f t="shared" si="17"/>
        <v>0.31926410112111947</v>
      </c>
      <c r="M91" s="3">
        <f>C91-CryptoTable[[#This Row],[Previous_Price]]</f>
        <v>-3.7266726683944373E-3</v>
      </c>
      <c r="N91" s="3" t="str">
        <f t="shared" si="18"/>
        <v>&lt;10</v>
      </c>
      <c r="O91" s="3" t="str">
        <f t="shared" si="19"/>
        <v>0-50</v>
      </c>
      <c r="P91" s="3" t="str">
        <f t="shared" si="20"/>
        <v>Others</v>
      </c>
      <c r="Q91" s="3" t="str">
        <f t="shared" si="21"/>
        <v>Yes</v>
      </c>
      <c r="R91" s="3" t="str">
        <f t="shared" si="22"/>
        <v>&gt; 50</v>
      </c>
      <c r="S91" s="3">
        <f t="shared" si="23"/>
        <v>640289406.89133704</v>
      </c>
    </row>
    <row r="92" spans="1:19" x14ac:dyDescent="0.35">
      <c r="A92" s="3" t="s">
        <v>183</v>
      </c>
      <c r="B92" s="3" t="s">
        <v>184</v>
      </c>
      <c r="C92" s="3">
        <v>0.99669393902835512</v>
      </c>
      <c r="D92" s="3">
        <v>1.535106E-2</v>
      </c>
      <c r="E92" s="3">
        <v>-9.1949149999999993E-2</v>
      </c>
      <c r="F92" s="3">
        <v>456632277.69513935</v>
      </c>
      <c r="G92" s="3">
        <v>11378638930.897017</v>
      </c>
      <c r="H92" s="2">
        <v>458146939.41080397</v>
      </c>
      <c r="I92" s="3">
        <f>CryptoTable[[#This Row],[volume_24h]]/CryptoTable[[#This Row],[circulating_supply]]</f>
        <v>24.836221640005757</v>
      </c>
      <c r="J92" s="3">
        <f>RANK(CryptoTable[[#This Row],[market_cap]],CryptoTable[market_cap],0)</f>
        <v>91</v>
      </c>
      <c r="K92" s="3" t="str">
        <f t="shared" si="16"/>
        <v>0.5-1</v>
      </c>
      <c r="L92" s="3">
        <f t="shared" si="17"/>
        <v>0.9965409594277489</v>
      </c>
      <c r="M92" s="3">
        <f>C92-CryptoTable[[#This Row],[Previous_Price]]</f>
        <v>1.5297960060622895E-4</v>
      </c>
      <c r="N92" s="3" t="str">
        <f t="shared" si="18"/>
        <v>&lt;10</v>
      </c>
      <c r="O92" s="3" t="str">
        <f t="shared" si="19"/>
        <v>0-50</v>
      </c>
      <c r="P92" s="3" t="str">
        <f t="shared" si="20"/>
        <v>Others</v>
      </c>
      <c r="Q92" s="3" t="str">
        <f t="shared" si="21"/>
        <v>No</v>
      </c>
      <c r="R92" s="3" t="str">
        <f t="shared" si="22"/>
        <v>&gt; 50</v>
      </c>
      <c r="S92" s="3">
        <f t="shared" si="23"/>
        <v>304926405.70709813</v>
      </c>
    </row>
    <row r="93" spans="1:19" x14ac:dyDescent="0.35">
      <c r="A93" s="3" t="s">
        <v>185</v>
      </c>
      <c r="B93" s="3" t="s">
        <v>186</v>
      </c>
      <c r="C93" s="3">
        <v>1.1944252092497782</v>
      </c>
      <c r="D93" s="3">
        <v>-0.45393533000000003</v>
      </c>
      <c r="E93" s="3">
        <v>-0.39533655000000001</v>
      </c>
      <c r="F93" s="3">
        <v>452280470.95354635</v>
      </c>
      <c r="G93" s="3">
        <v>27810541.28331013</v>
      </c>
      <c r="H93" s="2">
        <v>378659515.43138057</v>
      </c>
      <c r="I93" s="3">
        <f>CryptoTable[[#This Row],[volume_24h]]/CryptoTable[[#This Row],[circulating_supply]]</f>
        <v>7.3444717879669566E-2</v>
      </c>
      <c r="J93" s="3">
        <f>RANK(CryptoTable[[#This Row],[market_cap]],CryptoTable[market_cap],0)</f>
        <v>92</v>
      </c>
      <c r="K93" s="3" t="str">
        <f t="shared" si="16"/>
        <v>1-2</v>
      </c>
      <c r="L93" s="3">
        <f t="shared" si="17"/>
        <v>1.1998718514984548</v>
      </c>
      <c r="M93" s="3">
        <f>C93-CryptoTable[[#This Row],[Previous_Price]]</f>
        <v>-5.4466422486765254E-3</v>
      </c>
      <c r="N93" s="3" t="str">
        <f t="shared" si="18"/>
        <v>&lt;10</v>
      </c>
      <c r="O93" s="3" t="str">
        <f t="shared" si="19"/>
        <v>0-50</v>
      </c>
      <c r="P93" s="3" t="str">
        <f t="shared" si="20"/>
        <v>Others</v>
      </c>
      <c r="Q93" s="3" t="str">
        <f t="shared" si="21"/>
        <v>No</v>
      </c>
      <c r="R93" s="3" t="str">
        <f t="shared" si="22"/>
        <v>&gt; 50</v>
      </c>
      <c r="S93" s="3">
        <f t="shared" si="23"/>
        <v>276979995.31033057</v>
      </c>
    </row>
    <row r="94" spans="1:19" x14ac:dyDescent="0.35">
      <c r="A94" s="3" t="s">
        <v>187</v>
      </c>
      <c r="B94" s="3" t="s">
        <v>188</v>
      </c>
      <c r="C94" s="3">
        <v>2.526609098837761E-2</v>
      </c>
      <c r="D94" s="3">
        <v>-0.13147175999999999</v>
      </c>
      <c r="E94" s="3">
        <v>-12.46150454</v>
      </c>
      <c r="F94" s="3">
        <v>444683201.39544594</v>
      </c>
      <c r="G94" s="3">
        <v>97790440.918288425</v>
      </c>
      <c r="H94" s="2">
        <v>17600000000</v>
      </c>
      <c r="I94" s="3">
        <f>CryptoTable[[#This Row],[volume_24h]]/CryptoTable[[#This Row],[circulating_supply]]</f>
        <v>5.5562750521754786E-3</v>
      </c>
      <c r="J94" s="3">
        <f>RANK(CryptoTable[[#This Row],[market_cap]],CryptoTable[market_cap],0)</f>
        <v>93</v>
      </c>
      <c r="K94" s="3" t="str">
        <f t="shared" si="16"/>
        <v>0-0.5</v>
      </c>
      <c r="L94" s="3">
        <f t="shared" si="17"/>
        <v>2.5299352492367932E-2</v>
      </c>
      <c r="M94" s="3">
        <f>C94-CryptoTable[[#This Row],[Previous_Price]]</f>
        <v>-3.3261503990321406E-5</v>
      </c>
      <c r="N94" s="3" t="str">
        <f t="shared" si="18"/>
        <v>&lt;10</v>
      </c>
      <c r="O94" s="3" t="str">
        <f t="shared" si="19"/>
        <v>0-50</v>
      </c>
      <c r="P94" s="3" t="str">
        <f t="shared" si="20"/>
        <v>Others</v>
      </c>
      <c r="Q94" s="3" t="str">
        <f t="shared" si="21"/>
        <v>No</v>
      </c>
      <c r="R94" s="3" t="str">
        <f t="shared" si="22"/>
        <v>&gt; 50</v>
      </c>
      <c r="S94" s="3">
        <f t="shared" si="23"/>
        <v>6014894400.4213247</v>
      </c>
    </row>
    <row r="95" spans="1:19" x14ac:dyDescent="0.35">
      <c r="A95" s="3" t="s">
        <v>189</v>
      </c>
      <c r="B95" s="3" t="s">
        <v>190</v>
      </c>
      <c r="C95" s="3">
        <v>0.12353386705345525</v>
      </c>
      <c r="D95" s="3">
        <v>-1.4623291700000001</v>
      </c>
      <c r="E95" s="3">
        <v>2.4718252700000001</v>
      </c>
      <c r="F95" s="3">
        <v>428837627.93203795</v>
      </c>
      <c r="G95" s="3">
        <v>29197641.11901243</v>
      </c>
      <c r="H95" s="2">
        <v>3471417500</v>
      </c>
      <c r="I95" s="3">
        <f>CryptoTable[[#This Row],[volume_24h]]/CryptoTable[[#This Row],[circulating_supply]]</f>
        <v>8.4108699454941479E-3</v>
      </c>
      <c r="J95" s="3">
        <f>RANK(CryptoTable[[#This Row],[market_cap]],CryptoTable[market_cap],0)</f>
        <v>94</v>
      </c>
      <c r="K95" s="3" t="str">
        <f t="shared" si="16"/>
        <v>0-0.5</v>
      </c>
      <c r="L95" s="3">
        <f t="shared" si="17"/>
        <v>0.12536714741977145</v>
      </c>
      <c r="M95" s="3">
        <f>C95-CryptoTable[[#This Row],[Previous_Price]]</f>
        <v>-1.8332803663162062E-3</v>
      </c>
      <c r="N95" s="3" t="str">
        <f t="shared" si="18"/>
        <v>&lt;10</v>
      </c>
      <c r="O95" s="3" t="str">
        <f t="shared" si="19"/>
        <v>0-50</v>
      </c>
      <c r="P95" s="3" t="str">
        <f t="shared" si="20"/>
        <v>Others</v>
      </c>
      <c r="Q95" s="3" t="str">
        <f t="shared" si="21"/>
        <v>Yes</v>
      </c>
      <c r="R95" s="3" t="str">
        <f t="shared" si="22"/>
        <v>&gt; 50</v>
      </c>
      <c r="S95" s="3">
        <f t="shared" si="23"/>
        <v>1300085042.1565697</v>
      </c>
    </row>
    <row r="96" spans="1:19" x14ac:dyDescent="0.35">
      <c r="A96" s="3" t="s">
        <v>191</v>
      </c>
      <c r="B96" s="3" t="s">
        <v>191</v>
      </c>
      <c r="C96" s="3">
        <v>1.1917834919106087</v>
      </c>
      <c r="D96" s="3">
        <v>-5.3818570000000003E-2</v>
      </c>
      <c r="E96" s="3">
        <v>-0.55817797000000002</v>
      </c>
      <c r="F96" s="3">
        <v>410118798.23619723</v>
      </c>
      <c r="G96" s="3">
        <v>73594835.027719393</v>
      </c>
      <c r="H96" s="2">
        <v>344121898.8347581</v>
      </c>
      <c r="I96" s="3">
        <f>CryptoTable[[#This Row],[volume_24h]]/CryptoTable[[#This Row],[circulating_supply]]</f>
        <v>0.21386269015985662</v>
      </c>
      <c r="J96" s="3">
        <f>RANK(CryptoTable[[#This Row],[market_cap]],CryptoTable[market_cap],0)</f>
        <v>95</v>
      </c>
      <c r="K96" s="3" t="str">
        <f t="shared" si="16"/>
        <v>1-2</v>
      </c>
      <c r="L96" s="3">
        <f t="shared" si="17"/>
        <v>1.192425238122085</v>
      </c>
      <c r="M96" s="3">
        <f>C96-CryptoTable[[#This Row],[Previous_Price]]</f>
        <v>-6.4174621147627953E-4</v>
      </c>
      <c r="N96" s="3" t="str">
        <f t="shared" si="18"/>
        <v>&lt;10</v>
      </c>
      <c r="O96" s="3" t="str">
        <f t="shared" si="19"/>
        <v>0-50</v>
      </c>
      <c r="P96" s="3" t="str">
        <f t="shared" si="20"/>
        <v>Others</v>
      </c>
      <c r="Q96" s="3" t="str">
        <f t="shared" si="21"/>
        <v>Yes</v>
      </c>
      <c r="R96" s="3" t="str">
        <f t="shared" si="22"/>
        <v>&gt; 50</v>
      </c>
      <c r="S96" s="3">
        <f t="shared" si="23"/>
        <v>251413565.67237893</v>
      </c>
    </row>
    <row r="97" spans="1:19" x14ac:dyDescent="0.35">
      <c r="A97" s="3" t="s">
        <v>192</v>
      </c>
      <c r="B97" s="3" t="s">
        <v>193</v>
      </c>
      <c r="C97" s="3">
        <v>0.20129256954183872</v>
      </c>
      <c r="D97" s="3">
        <v>-0.68776791000000004</v>
      </c>
      <c r="E97" s="3">
        <v>-10.758371070000001</v>
      </c>
      <c r="F97" s="3">
        <v>400365391.15277332</v>
      </c>
      <c r="G97" s="3">
        <v>24755171.244903401</v>
      </c>
      <c r="H97" s="2">
        <v>1988972529.2098141</v>
      </c>
      <c r="I97" s="3">
        <f>CryptoTable[[#This Row],[volume_24h]]/CryptoTable[[#This Row],[circulating_supply]]</f>
        <v>1.2446210735116699E-2</v>
      </c>
      <c r="J97" s="3">
        <f>RANK(CryptoTable[[#This Row],[market_cap]],CryptoTable[market_cap],0)</f>
        <v>96</v>
      </c>
      <c r="K97" s="3" t="str">
        <f t="shared" si="16"/>
        <v>0-0.5</v>
      </c>
      <c r="L97" s="3">
        <f t="shared" si="17"/>
        <v>0.20268658281632498</v>
      </c>
      <c r="M97" s="3">
        <f>C97-CryptoTable[[#This Row],[Previous_Price]]</f>
        <v>-1.3940132744862666E-3</v>
      </c>
      <c r="N97" s="3" t="str">
        <f t="shared" si="18"/>
        <v>&lt;10</v>
      </c>
      <c r="O97" s="3" t="str">
        <f t="shared" si="19"/>
        <v>0-50</v>
      </c>
      <c r="P97" s="3" t="str">
        <f t="shared" si="20"/>
        <v>Others</v>
      </c>
      <c r="Q97" s="3" t="str">
        <f t="shared" si="21"/>
        <v>Yes</v>
      </c>
      <c r="R97" s="3" t="str">
        <f t="shared" si="22"/>
        <v>&gt; 50</v>
      </c>
      <c r="S97" s="3">
        <f t="shared" si="23"/>
        <v>796445973.22493982</v>
      </c>
    </row>
    <row r="98" spans="1:19" x14ac:dyDescent="0.35">
      <c r="A98" s="3" t="s">
        <v>194</v>
      </c>
      <c r="B98" s="3" t="s">
        <v>195</v>
      </c>
      <c r="C98" s="3">
        <v>3.9863510074157591</v>
      </c>
      <c r="D98" s="3">
        <v>-0.10521712</v>
      </c>
      <c r="E98" s="3">
        <v>-8.7526936200000005</v>
      </c>
      <c r="F98" s="3">
        <v>398519239.08394927</v>
      </c>
      <c r="G98" s="3">
        <v>62286781.318906479</v>
      </c>
      <c r="H98" s="2">
        <v>99970935.409999996</v>
      </c>
      <c r="I98" s="3">
        <f>CryptoTable[[#This Row],[volume_24h]]/CryptoTable[[#This Row],[circulating_supply]]</f>
        <v>0.62304889979729039</v>
      </c>
      <c r="J98" s="3">
        <f>RANK(CryptoTable[[#This Row],[market_cap]],CryptoTable[market_cap],0)</f>
        <v>97</v>
      </c>
      <c r="K98" s="3" t="str">
        <f t="shared" ref="K98:K129" si="24">IF(C98&lt;=0.5,"0-0.5",
IF(C98&lt;=1,"0.5-1",
IF(C98&lt;=2,"1-2",
IF(C98&lt;=10,"2-10",
IF(C98&lt;=100,"10-100",
IF(C98&lt;=10000,"100-10000","10000+"))))))</f>
        <v>2-10</v>
      </c>
      <c r="L98" s="3">
        <f t="shared" ref="L98:L129" si="25">C98/(1+D98/100)</f>
        <v>3.9905497489337542</v>
      </c>
      <c r="M98" s="3">
        <f>C98-CryptoTable[[#This Row],[Previous_Price]]</f>
        <v>-4.1987415179951526E-3</v>
      </c>
      <c r="N98" s="3" t="str">
        <f t="shared" ref="N98:N129" si="26">IF(C98&gt;=10,"&gt;=10","&lt;10")</f>
        <v>&lt;10</v>
      </c>
      <c r="O98" s="3" t="str">
        <f t="shared" ref="O98:O129" si="27">IF(C98&lt;=50,"0-50","&gt;50")</f>
        <v>0-50</v>
      </c>
      <c r="P98" s="3" t="str">
        <f t="shared" si="20"/>
        <v>Others</v>
      </c>
      <c r="Q98" s="3" t="str">
        <f t="shared" ref="Q98:Q129" si="28">IF(OR(
LEFT(A98,1)="A",
LEFT(A98,1)="E",
LEFT(A98,1)="I",
LEFT(A98,1)="O",
LEFT(A98,1)="U",
LEFT(A98,1)="B",
LEFT(A98,1)="C",
LEFT(A98,1)="D"
),
"Yes","No")</f>
        <v>Yes</v>
      </c>
      <c r="R98" s="3" t="str">
        <f t="shared" ref="R98:R129" si="29">IF(B98&lt;=0.05,"0 - 0.05",
IF(B98&lt;=0.5,"0.05 - 0.5",
IF(B98&lt;=5,"0.5 - 5",
IF(B98&lt;=50,"5 - 50",
"&gt; 50"))))</f>
        <v>&gt; 50</v>
      </c>
      <c r="S98" s="3">
        <f t="shared" ref="S98:S129" si="30">AVERAGE(D98,F98,H98)</f>
        <v>166163391.46291074</v>
      </c>
    </row>
    <row r="99" spans="1:19" x14ac:dyDescent="0.35">
      <c r="A99" s="3" t="s">
        <v>196</v>
      </c>
      <c r="B99" s="3" t="s">
        <v>197</v>
      </c>
      <c r="C99" s="3">
        <v>1.5810203755191015</v>
      </c>
      <c r="D99" s="3">
        <v>-1.6575695500000001</v>
      </c>
      <c r="E99" s="3">
        <v>-13.964329149999999</v>
      </c>
      <c r="F99" s="3">
        <v>395255093.87977535</v>
      </c>
      <c r="G99" s="3">
        <v>161221515.71314582</v>
      </c>
      <c r="H99" s="2">
        <v>250000000</v>
      </c>
      <c r="I99" s="3">
        <f>CryptoTable[[#This Row],[volume_24h]]/CryptoTable[[#This Row],[circulating_supply]]</f>
        <v>0.64488606285258332</v>
      </c>
      <c r="J99" s="3">
        <f>RANK(CryptoTable[[#This Row],[market_cap]],CryptoTable[market_cap],0)</f>
        <v>98</v>
      </c>
      <c r="K99" s="3" t="str">
        <f t="shared" si="24"/>
        <v>1-2</v>
      </c>
      <c r="L99" s="3">
        <f t="shared" si="25"/>
        <v>1.6076686007093712</v>
      </c>
      <c r="M99" s="3">
        <f>C99-CryptoTable[[#This Row],[Previous_Price]]</f>
        <v>-2.664822519026977E-2</v>
      </c>
      <c r="N99" s="3" t="str">
        <f t="shared" si="26"/>
        <v>&lt;10</v>
      </c>
      <c r="O99" s="3" t="str">
        <f t="shared" si="27"/>
        <v>0-50</v>
      </c>
      <c r="P99" s="3" t="str">
        <f t="shared" si="20"/>
        <v>Others</v>
      </c>
      <c r="Q99" s="3" t="str">
        <f t="shared" si="28"/>
        <v>No</v>
      </c>
      <c r="R99" s="3" t="str">
        <f t="shared" si="29"/>
        <v>&gt; 50</v>
      </c>
      <c r="S99" s="3">
        <f t="shared" si="30"/>
        <v>215085030.74073529</v>
      </c>
    </row>
    <row r="100" spans="1:19" x14ac:dyDescent="0.35">
      <c r="A100" s="3" t="s">
        <v>198</v>
      </c>
      <c r="B100" s="3" t="s">
        <v>199</v>
      </c>
      <c r="C100" s="3">
        <v>0.46484373577562182</v>
      </c>
      <c r="D100" s="3">
        <v>-1.31782993</v>
      </c>
      <c r="E100" s="3">
        <v>-8.8360745699999992</v>
      </c>
      <c r="F100" s="3">
        <v>393521275.10085541</v>
      </c>
      <c r="G100" s="3">
        <v>52747904.543621667</v>
      </c>
      <c r="H100" s="2">
        <v>846566802.59278893</v>
      </c>
      <c r="I100" s="3">
        <f>CryptoTable[[#This Row],[volume_24h]]/CryptoTable[[#This Row],[circulating_supply]]</f>
        <v>6.2308023870142455E-2</v>
      </c>
      <c r="J100" s="3">
        <f>RANK(CryptoTable[[#This Row],[market_cap]],CryptoTable[market_cap],0)</f>
        <v>99</v>
      </c>
      <c r="K100" s="3" t="str">
        <f t="shared" si="24"/>
        <v>0-0.5</v>
      </c>
      <c r="L100" s="3">
        <f t="shared" si="25"/>
        <v>0.47105139200514728</v>
      </c>
      <c r="M100" s="3">
        <f>C100-CryptoTable[[#This Row],[Previous_Price]]</f>
        <v>-6.20765622952546E-3</v>
      </c>
      <c r="N100" s="3" t="str">
        <f t="shared" si="26"/>
        <v>&lt;10</v>
      </c>
      <c r="O100" s="3" t="str">
        <f t="shared" si="27"/>
        <v>0-50</v>
      </c>
      <c r="P100" s="3" t="str">
        <f t="shared" si="20"/>
        <v>Others</v>
      </c>
      <c r="Q100" s="3" t="str">
        <f t="shared" si="28"/>
        <v>No</v>
      </c>
      <c r="R100" s="3" t="str">
        <f t="shared" si="29"/>
        <v>&gt; 50</v>
      </c>
      <c r="S100" s="3">
        <f t="shared" si="30"/>
        <v>413362692.1252715</v>
      </c>
    </row>
    <row r="101" spans="1:19" x14ac:dyDescent="0.35">
      <c r="A101" s="3" t="s">
        <v>200</v>
      </c>
      <c r="B101" s="3" t="s">
        <v>201</v>
      </c>
      <c r="C101" s="3">
        <v>0.33919794891766891</v>
      </c>
      <c r="D101" s="3">
        <v>0.53382399999999997</v>
      </c>
      <c r="E101" s="3">
        <v>-1.9286203500000001</v>
      </c>
      <c r="F101" s="3">
        <v>392501445.50798559</v>
      </c>
      <c r="G101" s="3">
        <v>25203918.663330711</v>
      </c>
      <c r="H101" s="2">
        <v>1157145692.538532</v>
      </c>
      <c r="I101" s="3">
        <f>CryptoTable[[#This Row],[volume_24h]]/CryptoTable[[#This Row],[circulating_supply]]</f>
        <v>2.1781110905782886E-2</v>
      </c>
      <c r="J101" s="3">
        <f>RANK(CryptoTable[[#This Row],[market_cap]],CryptoTable[market_cap],0)</f>
        <v>100</v>
      </c>
      <c r="K101" s="3" t="str">
        <f t="shared" si="24"/>
        <v>0-0.5</v>
      </c>
      <c r="L101" s="3">
        <f t="shared" si="25"/>
        <v>0.33739684359133593</v>
      </c>
      <c r="M101" s="3">
        <f>C101-CryptoTable[[#This Row],[Previous_Price]]</f>
        <v>1.8011053263329857E-3</v>
      </c>
      <c r="N101" s="3" t="str">
        <f t="shared" si="26"/>
        <v>&lt;10</v>
      </c>
      <c r="O101" s="3" t="str">
        <f t="shared" si="27"/>
        <v>0-50</v>
      </c>
      <c r="P101" s="3" t="str">
        <f t="shared" si="20"/>
        <v>Others</v>
      </c>
      <c r="Q101" s="3" t="str">
        <f t="shared" si="28"/>
        <v>No</v>
      </c>
      <c r="R101" s="3" t="str">
        <f t="shared" si="29"/>
        <v>&gt; 50</v>
      </c>
      <c r="S101" s="3">
        <f t="shared" si="30"/>
        <v>516549046.19344717</v>
      </c>
    </row>
    <row r="102" spans="1:19" x14ac:dyDescent="0.35">
      <c r="A102" s="3" t="s">
        <v>202</v>
      </c>
      <c r="B102" s="3" t="s">
        <v>203</v>
      </c>
      <c r="C102" s="3">
        <v>4.2942557873999775E-2</v>
      </c>
      <c r="D102" s="3">
        <v>-0.45714451</v>
      </c>
      <c r="E102" s="3">
        <v>-1.11758051</v>
      </c>
      <c r="F102" s="3">
        <v>378543324.98767442</v>
      </c>
      <c r="G102" s="3">
        <v>35262606.036764883</v>
      </c>
      <c r="H102" s="2">
        <v>8815108920.5813065</v>
      </c>
      <c r="I102" s="3">
        <f>CryptoTable[[#This Row],[volume_24h]]/CryptoTable[[#This Row],[circulating_supply]]</f>
        <v>4.0002462084653984E-3</v>
      </c>
      <c r="J102" s="3">
        <f>RANK(CryptoTable[[#This Row],[market_cap]],CryptoTable[market_cap],0)</f>
        <v>101</v>
      </c>
      <c r="K102" s="3" t="str">
        <f t="shared" si="24"/>
        <v>0-0.5</v>
      </c>
      <c r="L102" s="3">
        <f t="shared" si="25"/>
        <v>4.3139768959424465E-2</v>
      </c>
      <c r="M102" s="3">
        <f>C102-CryptoTable[[#This Row],[Previous_Price]]</f>
        <v>-1.9721108542469085E-4</v>
      </c>
      <c r="N102" s="3" t="str">
        <f t="shared" si="26"/>
        <v>&lt;10</v>
      </c>
      <c r="O102" s="3" t="str">
        <f t="shared" si="27"/>
        <v>0-50</v>
      </c>
      <c r="P102" s="3" t="str">
        <f t="shared" si="20"/>
        <v>Others</v>
      </c>
      <c r="Q102" s="3" t="str">
        <f t="shared" si="28"/>
        <v>No</v>
      </c>
      <c r="R102" s="3" t="str">
        <f t="shared" si="29"/>
        <v>&gt; 50</v>
      </c>
      <c r="S102" s="3">
        <f t="shared" si="30"/>
        <v>3064550748.3706117</v>
      </c>
    </row>
    <row r="103" spans="1:19" x14ac:dyDescent="0.35">
      <c r="A103" s="3" t="s">
        <v>204</v>
      </c>
      <c r="B103" s="3" t="s">
        <v>205</v>
      </c>
      <c r="C103" s="3">
        <v>0.40993611691039777</v>
      </c>
      <c r="D103" s="3">
        <v>-1.00164096</v>
      </c>
      <c r="E103" s="3">
        <v>-9.6783083300000001</v>
      </c>
      <c r="F103" s="3">
        <v>375895680.84536809</v>
      </c>
      <c r="G103" s="3">
        <v>27616142.36956425</v>
      </c>
      <c r="H103" s="3">
        <v>916961607.7705344</v>
      </c>
      <c r="I103" s="3">
        <f>CryptoTable[[#This Row],[volume_24h]]/CryptoTable[[#This Row],[circulating_supply]]</f>
        <v>3.0117010500264114E-2</v>
      </c>
      <c r="J103" s="3">
        <f>RANK(CryptoTable[[#This Row],[market_cap]],CryptoTable[market_cap],0)</f>
        <v>102</v>
      </c>
      <c r="K103" s="3" t="str">
        <f t="shared" si="24"/>
        <v>0-0.5</v>
      </c>
      <c r="L103" s="3">
        <f t="shared" si="25"/>
        <v>0.41408374935261733</v>
      </c>
      <c r="M103" s="3">
        <f>C103-CryptoTable[[#This Row],[Previous_Price]]</f>
        <v>-4.147632442219551E-3</v>
      </c>
      <c r="N103" s="3" t="str">
        <f t="shared" si="26"/>
        <v>&lt;10</v>
      </c>
      <c r="O103" s="3" t="str">
        <f t="shared" si="27"/>
        <v>0-50</v>
      </c>
      <c r="P103" s="3" t="str">
        <f t="shared" si="20"/>
        <v>Others</v>
      </c>
      <c r="Q103" s="3" t="str">
        <f t="shared" si="28"/>
        <v>Yes</v>
      </c>
      <c r="R103" s="3" t="str">
        <f t="shared" si="29"/>
        <v>&gt; 50</v>
      </c>
      <c r="S103" s="3">
        <f t="shared" si="30"/>
        <v>430952429.20475388</v>
      </c>
    </row>
    <row r="104" spans="1:19" x14ac:dyDescent="0.35">
      <c r="A104" s="3" t="s">
        <v>206</v>
      </c>
      <c r="B104" s="3" t="s">
        <v>207</v>
      </c>
      <c r="C104" s="3">
        <v>3.8003850663966556E-7</v>
      </c>
      <c r="D104" s="3">
        <v>-0.15794171000000001</v>
      </c>
      <c r="E104" s="3">
        <v>-4.4974717699999998</v>
      </c>
      <c r="F104" s="3">
        <v>374741204.18677622</v>
      </c>
      <c r="G104" s="3">
        <v>14568497.03386366</v>
      </c>
      <c r="H104" s="3">
        <v>986061142857000</v>
      </c>
      <c r="I104" s="3">
        <f>CryptoTable[[#This Row],[volume_24h]]/CryptoTable[[#This Row],[circulating_supply]]</f>
        <v>1.4774435783619966E-8</v>
      </c>
      <c r="J104" s="3">
        <f>RANK(CryptoTable[[#This Row],[market_cap]],CryptoTable[market_cap],0)</f>
        <v>103</v>
      </c>
      <c r="K104" s="3" t="str">
        <f t="shared" si="24"/>
        <v>0-0.5</v>
      </c>
      <c r="L104" s="3">
        <f t="shared" si="25"/>
        <v>3.8063969548365121E-7</v>
      </c>
      <c r="M104" s="3">
        <f>C104-CryptoTable[[#This Row],[Previous_Price]]</f>
        <v>-6.0118884398565384E-10</v>
      </c>
      <c r="N104" s="3" t="str">
        <f t="shared" si="26"/>
        <v>&lt;10</v>
      </c>
      <c r="O104" s="3" t="str">
        <f t="shared" si="27"/>
        <v>0-50</v>
      </c>
      <c r="P104" s="3" t="str">
        <f t="shared" si="20"/>
        <v>Others</v>
      </c>
      <c r="Q104" s="3" t="str">
        <f t="shared" si="28"/>
        <v>Yes</v>
      </c>
      <c r="R104" s="3" t="str">
        <f t="shared" si="29"/>
        <v>&gt; 50</v>
      </c>
      <c r="S104" s="3">
        <f t="shared" si="30"/>
        <v>328687172532734.69</v>
      </c>
    </row>
    <row r="105" spans="1:19" x14ac:dyDescent="0.35">
      <c r="A105" s="3" t="s">
        <v>208</v>
      </c>
      <c r="B105" s="3" t="s">
        <v>209</v>
      </c>
      <c r="C105" s="3">
        <v>0.53494294390792996</v>
      </c>
      <c r="D105" s="3">
        <v>-1.13585121</v>
      </c>
      <c r="E105" s="3">
        <v>-11.474442700000001</v>
      </c>
      <c r="F105" s="3">
        <v>374119574.90118301</v>
      </c>
      <c r="G105" s="3">
        <v>50864427.169971883</v>
      </c>
      <c r="H105" s="3">
        <v>699363510</v>
      </c>
      <c r="I105" s="3">
        <f>CryptoTable[[#This Row],[volume_24h]]/CryptoTable[[#This Row],[circulating_supply]]</f>
        <v>7.2729598331448375E-2</v>
      </c>
      <c r="J105" s="3">
        <f>RANK(CryptoTable[[#This Row],[market_cap]],CryptoTable[market_cap],0)</f>
        <v>104</v>
      </c>
      <c r="K105" s="3" t="str">
        <f t="shared" si="24"/>
        <v>0.5-1</v>
      </c>
      <c r="L105" s="3">
        <f t="shared" si="25"/>
        <v>0.54108890882600602</v>
      </c>
      <c r="M105" s="3">
        <f>C105-CryptoTable[[#This Row],[Previous_Price]]</f>
        <v>-6.1459649180760634E-3</v>
      </c>
      <c r="N105" s="3" t="str">
        <f t="shared" si="26"/>
        <v>&lt;10</v>
      </c>
      <c r="O105" s="3" t="str">
        <f t="shared" si="27"/>
        <v>0-50</v>
      </c>
      <c r="P105" s="3" t="str">
        <f t="shared" si="20"/>
        <v>Others</v>
      </c>
      <c r="Q105" s="3" t="str">
        <f t="shared" si="28"/>
        <v>Yes</v>
      </c>
      <c r="R105" s="3" t="str">
        <f t="shared" si="29"/>
        <v>&gt; 50</v>
      </c>
      <c r="S105" s="3">
        <f t="shared" si="30"/>
        <v>357827694.58844393</v>
      </c>
    </row>
    <row r="106" spans="1:19" x14ac:dyDescent="0.35">
      <c r="A106" s="3" t="s">
        <v>210</v>
      </c>
      <c r="B106" s="3" t="s">
        <v>211</v>
      </c>
      <c r="C106" s="3">
        <v>1.886465882264966E-2</v>
      </c>
      <c r="D106" s="3">
        <v>0.59780763000000003</v>
      </c>
      <c r="E106" s="3">
        <v>3.7948184899999999</v>
      </c>
      <c r="F106" s="3">
        <v>362284631.3318668</v>
      </c>
      <c r="G106" s="3">
        <v>43292062.303274602</v>
      </c>
      <c r="H106" s="3">
        <v>19204409405.851192</v>
      </c>
      <c r="I106" s="3">
        <f>CryptoTable[[#This Row],[volume_24h]]/CryptoTable[[#This Row],[circulating_supply]]</f>
        <v>2.2542772020932023E-3</v>
      </c>
      <c r="J106" s="3">
        <f>RANK(CryptoTable[[#This Row],[market_cap]],CryptoTable[market_cap],0)</f>
        <v>105</v>
      </c>
      <c r="K106" s="3" t="str">
        <f t="shared" si="24"/>
        <v>0-0.5</v>
      </c>
      <c r="L106" s="3">
        <f t="shared" si="25"/>
        <v>1.8752554620309534E-2</v>
      </c>
      <c r="M106" s="3">
        <f>C106-CryptoTable[[#This Row],[Previous_Price]]</f>
        <v>1.1210420234012558E-4</v>
      </c>
      <c r="N106" s="3" t="str">
        <f t="shared" si="26"/>
        <v>&lt;10</v>
      </c>
      <c r="O106" s="3" t="str">
        <f t="shared" si="27"/>
        <v>0-50</v>
      </c>
      <c r="P106" s="3" t="str">
        <f t="shared" si="20"/>
        <v>Others</v>
      </c>
      <c r="Q106" s="3" t="str">
        <f t="shared" si="28"/>
        <v>No</v>
      </c>
      <c r="R106" s="3" t="str">
        <f t="shared" si="29"/>
        <v>&gt; 50</v>
      </c>
      <c r="S106" s="3">
        <f t="shared" si="30"/>
        <v>6522231345.9269562</v>
      </c>
    </row>
    <row r="107" spans="1:19" x14ac:dyDescent="0.35">
      <c r="A107" s="3" t="s">
        <v>212</v>
      </c>
      <c r="B107" s="3" t="s">
        <v>212</v>
      </c>
      <c r="C107" s="3">
        <v>3.7732558995175347E-5</v>
      </c>
      <c r="D107" s="3">
        <v>-1.24655564</v>
      </c>
      <c r="E107" s="3">
        <v>-6.6594382200000002</v>
      </c>
      <c r="F107" s="3">
        <v>359946546.58812201</v>
      </c>
      <c r="G107" s="3">
        <v>57547180.219525367</v>
      </c>
      <c r="H107" s="3">
        <v>9539415194027.6934</v>
      </c>
      <c r="I107" s="3">
        <f>CryptoTable[[#This Row],[volume_24h]]/CryptoTable[[#This Row],[circulating_supply]]</f>
        <v>6.0325689834271726E-6</v>
      </c>
      <c r="J107" s="3">
        <f>RANK(CryptoTable[[#This Row],[market_cap]],CryptoTable[market_cap],0)</f>
        <v>106</v>
      </c>
      <c r="K107" s="3" t="str">
        <f t="shared" si="24"/>
        <v>0-0.5</v>
      </c>
      <c r="L107" s="3">
        <f t="shared" si="25"/>
        <v>3.8208853614891117E-5</v>
      </c>
      <c r="M107" s="3">
        <f>C107-CryptoTable[[#This Row],[Previous_Price]]</f>
        <v>-4.7629461971577001E-7</v>
      </c>
      <c r="N107" s="3" t="str">
        <f t="shared" si="26"/>
        <v>&lt;10</v>
      </c>
      <c r="O107" s="3" t="str">
        <f t="shared" si="27"/>
        <v>0-50</v>
      </c>
      <c r="P107" s="3" t="str">
        <f t="shared" si="20"/>
        <v>Others</v>
      </c>
      <c r="Q107" s="3" t="str">
        <f t="shared" si="28"/>
        <v>No</v>
      </c>
      <c r="R107" s="3" t="str">
        <f t="shared" si="29"/>
        <v>&gt; 50</v>
      </c>
      <c r="S107" s="3">
        <f t="shared" si="30"/>
        <v>3179925046857.6782</v>
      </c>
    </row>
    <row r="108" spans="1:19" x14ac:dyDescent="0.35">
      <c r="A108" s="3" t="s">
        <v>213</v>
      </c>
      <c r="B108" s="3" t="s">
        <v>214</v>
      </c>
      <c r="C108" s="3">
        <v>2.1160893793822422</v>
      </c>
      <c r="D108" s="3">
        <v>-0.57443226999999997</v>
      </c>
      <c r="E108" s="3">
        <v>-10.959014590000001</v>
      </c>
      <c r="F108" s="3">
        <v>357219107.69429034</v>
      </c>
      <c r="G108" s="3">
        <v>258152833.09464219</v>
      </c>
      <c r="H108" s="3">
        <v>168810973.28628653</v>
      </c>
      <c r="I108" s="3">
        <f>CryptoTable[[#This Row],[volume_24h]]/CryptoTable[[#This Row],[circulating_supply]]</f>
        <v>1.5292420159016606</v>
      </c>
      <c r="J108" s="3">
        <f>RANK(CryptoTable[[#This Row],[market_cap]],CryptoTable[market_cap],0)</f>
        <v>107</v>
      </c>
      <c r="K108" s="3" t="str">
        <f t="shared" si="24"/>
        <v>2-10</v>
      </c>
      <c r="L108" s="3">
        <f t="shared" si="25"/>
        <v>2.1283151081708609</v>
      </c>
      <c r="M108" s="3">
        <f>C108-CryptoTable[[#This Row],[Previous_Price]]</f>
        <v>-1.2225728788618717E-2</v>
      </c>
      <c r="N108" s="3" t="str">
        <f t="shared" si="26"/>
        <v>&lt;10</v>
      </c>
      <c r="O108" s="3" t="str">
        <f t="shared" si="27"/>
        <v>0-50</v>
      </c>
      <c r="P108" s="3" t="str">
        <f t="shared" si="20"/>
        <v>Others</v>
      </c>
      <c r="Q108" s="3" t="str">
        <f t="shared" si="28"/>
        <v>Yes</v>
      </c>
      <c r="R108" s="3" t="str">
        <f t="shared" si="29"/>
        <v>&gt; 50</v>
      </c>
      <c r="S108" s="3">
        <f t="shared" si="30"/>
        <v>175343360.13538155</v>
      </c>
    </row>
    <row r="109" spans="1:19" x14ac:dyDescent="0.35">
      <c r="A109" s="3" t="s">
        <v>215</v>
      </c>
      <c r="B109" s="3" t="s">
        <v>216</v>
      </c>
      <c r="C109" s="3">
        <v>5.6888044014927169E-2</v>
      </c>
      <c r="D109" s="3">
        <v>-0.83071965999999997</v>
      </c>
      <c r="E109" s="3">
        <v>-8.7004598600000005</v>
      </c>
      <c r="F109" s="3">
        <v>354485739.57244366</v>
      </c>
      <c r="G109" s="3">
        <v>27417175.09576904</v>
      </c>
      <c r="H109" s="3">
        <v>6231287183.637887</v>
      </c>
      <c r="I109" s="3">
        <f>CryptoTable[[#This Row],[volume_24h]]/CryptoTable[[#This Row],[circulating_supply]]</f>
        <v>4.3999216033183408E-3</v>
      </c>
      <c r="J109" s="3">
        <f>RANK(CryptoTable[[#This Row],[market_cap]],CryptoTable[market_cap],0)</f>
        <v>108</v>
      </c>
      <c r="K109" s="3" t="str">
        <f t="shared" si="24"/>
        <v>0-0.5</v>
      </c>
      <c r="L109" s="3">
        <f t="shared" si="25"/>
        <v>5.7364582882811682E-2</v>
      </c>
      <c r="M109" s="3">
        <f>C109-CryptoTable[[#This Row],[Previous_Price]]</f>
        <v>-4.7653886788451283E-4</v>
      </c>
      <c r="N109" s="3" t="str">
        <f t="shared" si="26"/>
        <v>&lt;10</v>
      </c>
      <c r="O109" s="3" t="str">
        <f t="shared" si="27"/>
        <v>0-50</v>
      </c>
      <c r="P109" s="3" t="str">
        <f t="shared" si="20"/>
        <v>Others</v>
      </c>
      <c r="Q109" s="3" t="str">
        <f t="shared" si="28"/>
        <v>No</v>
      </c>
      <c r="R109" s="3" t="str">
        <f t="shared" si="29"/>
        <v>&gt; 50</v>
      </c>
      <c r="S109" s="3">
        <f t="shared" si="30"/>
        <v>2195257640.7932038</v>
      </c>
    </row>
    <row r="110" spans="1:19" x14ac:dyDescent="0.35">
      <c r="A110" s="3" t="s">
        <v>217</v>
      </c>
      <c r="B110" s="3" t="s">
        <v>218</v>
      </c>
      <c r="C110" s="3">
        <v>3.2763923506172521E-2</v>
      </c>
      <c r="D110" s="3">
        <v>-0.57220062999999999</v>
      </c>
      <c r="E110" s="3">
        <v>-7.5617918099999999</v>
      </c>
      <c r="F110" s="3">
        <v>350467951.26025826</v>
      </c>
      <c r="G110" s="3">
        <v>24161612.346684732</v>
      </c>
      <c r="H110" s="3">
        <v>10696763810.788176</v>
      </c>
      <c r="I110" s="3">
        <f>CryptoTable[[#This Row],[volume_24h]]/CryptoTable[[#This Row],[circulating_supply]]</f>
        <v>2.2587777737334575E-3</v>
      </c>
      <c r="J110" s="3">
        <f>RANK(CryptoTable[[#This Row],[market_cap]],CryptoTable[market_cap],0)</f>
        <v>109</v>
      </c>
      <c r="K110" s="3" t="str">
        <f t="shared" si="24"/>
        <v>0-0.5</v>
      </c>
      <c r="L110" s="3">
        <f t="shared" si="25"/>
        <v>3.2952477791697223E-2</v>
      </c>
      <c r="M110" s="3">
        <f>C110-CryptoTable[[#This Row],[Previous_Price]]</f>
        <v>-1.885542855247016E-4</v>
      </c>
      <c r="N110" s="3" t="str">
        <f t="shared" si="26"/>
        <v>&lt;10</v>
      </c>
      <c r="O110" s="3" t="str">
        <f t="shared" si="27"/>
        <v>0-50</v>
      </c>
      <c r="P110" s="3" t="str">
        <f t="shared" si="20"/>
        <v>Others</v>
      </c>
      <c r="Q110" s="3" t="str">
        <f t="shared" si="28"/>
        <v>No</v>
      </c>
      <c r="R110" s="3" t="str">
        <f t="shared" si="29"/>
        <v>&gt; 50</v>
      </c>
      <c r="S110" s="3">
        <f t="shared" si="30"/>
        <v>3682410587.1587443</v>
      </c>
    </row>
    <row r="111" spans="1:19" x14ac:dyDescent="0.35">
      <c r="A111" s="3" t="s">
        <v>219</v>
      </c>
      <c r="B111" s="3" t="s">
        <v>220</v>
      </c>
      <c r="C111" s="3">
        <v>0.81503951315228895</v>
      </c>
      <c r="D111" s="3">
        <v>-0.22853483999999999</v>
      </c>
      <c r="E111" s="3">
        <v>-6.6995410099999999</v>
      </c>
      <c r="F111" s="3">
        <v>350353305.24391037</v>
      </c>
      <c r="G111" s="3">
        <v>14942382.901508089</v>
      </c>
      <c r="H111" s="3">
        <v>429860515.45999998</v>
      </c>
      <c r="I111" s="3">
        <f>CryptoTable[[#This Row],[volume_24h]]/CryptoTable[[#This Row],[circulating_supply]]</f>
        <v>3.4761003544412604E-2</v>
      </c>
      <c r="J111" s="3">
        <f>RANK(CryptoTable[[#This Row],[market_cap]],CryptoTable[market_cap],0)</f>
        <v>110</v>
      </c>
      <c r="K111" s="3" t="str">
        <f t="shared" si="24"/>
        <v>0.5-1</v>
      </c>
      <c r="L111" s="3">
        <f t="shared" si="25"/>
        <v>0.81690642895264565</v>
      </c>
      <c r="M111" s="3">
        <f>C111-CryptoTable[[#This Row],[Previous_Price]]</f>
        <v>-1.8669158003566944E-3</v>
      </c>
      <c r="N111" s="3" t="str">
        <f t="shared" si="26"/>
        <v>&lt;10</v>
      </c>
      <c r="O111" s="3" t="str">
        <f t="shared" si="27"/>
        <v>0-50</v>
      </c>
      <c r="P111" s="3" t="str">
        <f t="shared" si="20"/>
        <v>Others</v>
      </c>
      <c r="Q111" s="3" t="str">
        <f t="shared" si="28"/>
        <v>No</v>
      </c>
      <c r="R111" s="3" t="str">
        <f t="shared" si="29"/>
        <v>&gt; 50</v>
      </c>
      <c r="S111" s="3">
        <f t="shared" si="30"/>
        <v>260071273.49179184</v>
      </c>
    </row>
    <row r="112" spans="1:19" x14ac:dyDescent="0.35">
      <c r="A112" s="3" t="s">
        <v>221</v>
      </c>
      <c r="B112" s="3" t="s">
        <v>222</v>
      </c>
      <c r="C112" s="3">
        <v>0.40010507853891308</v>
      </c>
      <c r="D112" s="3">
        <v>-0.79759882000000004</v>
      </c>
      <c r="E112" s="3">
        <v>-9.6302313900000005</v>
      </c>
      <c r="F112" s="3">
        <v>349491983.01341927</v>
      </c>
      <c r="G112" s="3">
        <v>57488865.198472567</v>
      </c>
      <c r="H112" s="3">
        <v>873500492.144912</v>
      </c>
      <c r="I112" s="3">
        <f>CryptoTable[[#This Row],[volume_24h]]/CryptoTable[[#This Row],[circulating_supply]]</f>
        <v>6.5814347805696796E-2</v>
      </c>
      <c r="J112" s="3">
        <f>RANK(CryptoTable[[#This Row],[market_cap]],CryptoTable[market_cap],0)</f>
        <v>111</v>
      </c>
      <c r="K112" s="3" t="str">
        <f t="shared" si="24"/>
        <v>0-0.5</v>
      </c>
      <c r="L112" s="3">
        <f t="shared" si="25"/>
        <v>0.40332196981092577</v>
      </c>
      <c r="M112" s="3">
        <f>C112-CryptoTable[[#This Row],[Previous_Price]]</f>
        <v>-3.2168912720126897E-3</v>
      </c>
      <c r="N112" s="3" t="str">
        <f t="shared" si="26"/>
        <v>&lt;10</v>
      </c>
      <c r="O112" s="3" t="str">
        <f t="shared" si="27"/>
        <v>0-50</v>
      </c>
      <c r="P112" s="3" t="str">
        <f t="shared" si="20"/>
        <v>Others</v>
      </c>
      <c r="Q112" s="3" t="str">
        <f t="shared" si="28"/>
        <v>Yes</v>
      </c>
      <c r="R112" s="3" t="str">
        <f t="shared" si="29"/>
        <v>&gt; 50</v>
      </c>
      <c r="S112" s="3">
        <f t="shared" si="30"/>
        <v>407664158.1202442</v>
      </c>
    </row>
    <row r="113" spans="1:19" x14ac:dyDescent="0.35">
      <c r="A113" s="3" t="s">
        <v>223</v>
      </c>
      <c r="B113" s="3" t="s">
        <v>224</v>
      </c>
      <c r="C113" s="3">
        <v>3.4838122629557887E-7</v>
      </c>
      <c r="D113" s="3">
        <v>-0.32133602999999999</v>
      </c>
      <c r="E113" s="3">
        <v>1.0591765200000001</v>
      </c>
      <c r="F113" s="3">
        <v>348377742.48331594</v>
      </c>
      <c r="G113" s="3">
        <v>28075216.44736588</v>
      </c>
      <c r="H113" s="3">
        <v>999990000000000</v>
      </c>
      <c r="I113" s="3">
        <f>CryptoTable[[#This Row],[volume_24h]]/CryptoTable[[#This Row],[circulating_supply]]</f>
        <v>2.8075497202337905E-8</v>
      </c>
      <c r="J113" s="3">
        <f>RANK(CryptoTable[[#This Row],[market_cap]],CryptoTable[market_cap],0)</f>
        <v>112</v>
      </c>
      <c r="K113" s="3" t="str">
        <f t="shared" si="24"/>
        <v>0-0.5</v>
      </c>
      <c r="L113" s="3">
        <f t="shared" si="25"/>
        <v>3.4950430956862557E-7</v>
      </c>
      <c r="M113" s="3">
        <f>C113-CryptoTable[[#This Row],[Previous_Price]]</f>
        <v>-1.1230832730466949E-9</v>
      </c>
      <c r="N113" s="3" t="str">
        <f t="shared" si="26"/>
        <v>&lt;10</v>
      </c>
      <c r="O113" s="3" t="str">
        <f t="shared" si="27"/>
        <v>0-50</v>
      </c>
      <c r="P113" s="3" t="str">
        <f t="shared" si="20"/>
        <v>Others</v>
      </c>
      <c r="Q113" s="3" t="str">
        <f t="shared" si="28"/>
        <v>Yes</v>
      </c>
      <c r="R113" s="3" t="str">
        <f t="shared" si="29"/>
        <v>&gt; 50</v>
      </c>
      <c r="S113" s="3">
        <f t="shared" si="30"/>
        <v>333330116125914.06</v>
      </c>
    </row>
    <row r="114" spans="1:19" x14ac:dyDescent="0.35">
      <c r="A114" s="3" t="s">
        <v>225</v>
      </c>
      <c r="B114" s="3" t="s">
        <v>226</v>
      </c>
      <c r="C114" s="3">
        <v>130.38557423772559</v>
      </c>
      <c r="D114" s="3">
        <v>-0.71832927999999996</v>
      </c>
      <c r="E114" s="3">
        <v>-6.2066785500000003</v>
      </c>
      <c r="F114" s="3">
        <v>344122164.28274661</v>
      </c>
      <c r="G114" s="3">
        <v>6421370.8919910304</v>
      </c>
      <c r="H114" s="3">
        <v>2639265.6265433598</v>
      </c>
      <c r="I114" s="3">
        <f>CryptoTable[[#This Row],[volume_24h]]/CryptoTable[[#This Row],[circulating_supply]]</f>
        <v>2.4330142549543545</v>
      </c>
      <c r="J114" s="3">
        <f>RANK(CryptoTable[[#This Row],[market_cap]],CryptoTable[market_cap],0)</f>
        <v>113</v>
      </c>
      <c r="K114" s="3" t="str">
        <f t="shared" si="24"/>
        <v>100-10000</v>
      </c>
      <c r="L114" s="3">
        <f t="shared" si="25"/>
        <v>131.32894852811918</v>
      </c>
      <c r="M114" s="3">
        <f>C114-CryptoTable[[#This Row],[Previous_Price]]</f>
        <v>-0.94337429039359222</v>
      </c>
      <c r="N114" s="3" t="str">
        <f t="shared" si="26"/>
        <v>&gt;=10</v>
      </c>
      <c r="O114" s="3" t="str">
        <f t="shared" si="27"/>
        <v>&gt;50</v>
      </c>
      <c r="P114" s="3" t="str">
        <f t="shared" si="20"/>
        <v>Others</v>
      </c>
      <c r="Q114" s="3" t="str">
        <f t="shared" si="28"/>
        <v>No</v>
      </c>
      <c r="R114" s="3" t="str">
        <f t="shared" si="29"/>
        <v>&gt; 50</v>
      </c>
      <c r="S114" s="3">
        <f t="shared" si="30"/>
        <v>115587143.06365357</v>
      </c>
    </row>
    <row r="115" spans="1:19" x14ac:dyDescent="0.35">
      <c r="A115" s="3" t="s">
        <v>227</v>
      </c>
      <c r="B115" s="3" t="s">
        <v>227</v>
      </c>
      <c r="C115" s="3">
        <v>7.9259465461253439E-2</v>
      </c>
      <c r="D115" s="3">
        <v>-0.39200117000000001</v>
      </c>
      <c r="E115" s="3">
        <v>-6.1853150299999999</v>
      </c>
      <c r="F115" s="3">
        <v>337799810.89722717</v>
      </c>
      <c r="G115" s="3">
        <v>24179208.153844099</v>
      </c>
      <c r="H115" s="3">
        <v>4261949143</v>
      </c>
      <c r="I115" s="3">
        <f>CryptoTable[[#This Row],[volume_24h]]/CryptoTable[[#This Row],[circulating_supply]]</f>
        <v>5.6732746784548147E-3</v>
      </c>
      <c r="J115" s="3">
        <f>RANK(CryptoTable[[#This Row],[market_cap]],CryptoTable[market_cap],0)</f>
        <v>114</v>
      </c>
      <c r="K115" s="3" t="str">
        <f t="shared" si="24"/>
        <v>0-0.5</v>
      </c>
      <c r="L115" s="3">
        <f t="shared" si="25"/>
        <v>7.9571386226245544E-2</v>
      </c>
      <c r="M115" s="3">
        <f>C115-CryptoTable[[#This Row],[Previous_Price]]</f>
        <v>-3.1192076499210464E-4</v>
      </c>
      <c r="N115" s="3" t="str">
        <f t="shared" si="26"/>
        <v>&lt;10</v>
      </c>
      <c r="O115" s="3" t="str">
        <f t="shared" si="27"/>
        <v>0-50</v>
      </c>
      <c r="P115" s="3" t="str">
        <f t="shared" si="20"/>
        <v>Others</v>
      </c>
      <c r="Q115" s="3" t="str">
        <f t="shared" si="28"/>
        <v>Yes</v>
      </c>
      <c r="R115" s="3" t="str">
        <f t="shared" si="29"/>
        <v>&gt; 50</v>
      </c>
      <c r="S115" s="3">
        <f t="shared" si="30"/>
        <v>1533249651.1684086</v>
      </c>
    </row>
    <row r="116" spans="1:19" x14ac:dyDescent="0.35">
      <c r="A116" s="3" t="s">
        <v>228</v>
      </c>
      <c r="B116" s="3" t="s">
        <v>229</v>
      </c>
      <c r="C116" s="3">
        <v>5.8708060937179063E-2</v>
      </c>
      <c r="D116" s="3">
        <v>-0.91674644999999999</v>
      </c>
      <c r="E116" s="3">
        <v>-7.6527361000000003</v>
      </c>
      <c r="F116" s="3">
        <v>337570326.25455374</v>
      </c>
      <c r="G116" s="3">
        <v>37419522.992183156</v>
      </c>
      <c r="H116" s="3">
        <v>5749982555.4751844</v>
      </c>
      <c r="I116" s="3">
        <f>CryptoTable[[#This Row],[volume_24h]]/CryptoTable[[#This Row],[circulating_supply]]</f>
        <v>6.5077628725241877E-3</v>
      </c>
      <c r="J116" s="3">
        <f>RANK(CryptoTable[[#This Row],[market_cap]],CryptoTable[market_cap],0)</f>
        <v>115</v>
      </c>
      <c r="K116" s="3" t="str">
        <f t="shared" si="24"/>
        <v>0-0.5</v>
      </c>
      <c r="L116" s="3">
        <f t="shared" si="25"/>
        <v>5.9251244618802747E-2</v>
      </c>
      <c r="M116" s="3">
        <f>C116-CryptoTable[[#This Row],[Previous_Price]]</f>
        <v>-5.4318368162368375E-4</v>
      </c>
      <c r="N116" s="3" t="str">
        <f t="shared" si="26"/>
        <v>&lt;10</v>
      </c>
      <c r="O116" s="3" t="str">
        <f t="shared" si="27"/>
        <v>0-50</v>
      </c>
      <c r="P116" s="3" t="str">
        <f t="shared" si="20"/>
        <v>Others</v>
      </c>
      <c r="Q116" s="3" t="str">
        <f t="shared" si="28"/>
        <v>No</v>
      </c>
      <c r="R116" s="3" t="str">
        <f t="shared" si="29"/>
        <v>&gt; 50</v>
      </c>
      <c r="S116" s="3">
        <f t="shared" si="30"/>
        <v>2029184293.6043308</v>
      </c>
    </row>
    <row r="117" spans="1:19" x14ac:dyDescent="0.35">
      <c r="A117" s="3" t="s">
        <v>230</v>
      </c>
      <c r="B117" s="3" t="s">
        <v>231</v>
      </c>
      <c r="C117" s="3">
        <v>0.13936544281868443</v>
      </c>
      <c r="D117" s="3">
        <v>-1.4660366300000001</v>
      </c>
      <c r="E117" s="3">
        <v>-3.9502529499999999</v>
      </c>
      <c r="F117" s="3">
        <v>335970263.97771865</v>
      </c>
      <c r="G117" s="3">
        <v>24513857.2812328</v>
      </c>
      <c r="H117" s="3">
        <v>2410714286</v>
      </c>
      <c r="I117" s="3">
        <f>CryptoTable[[#This Row],[volume_24h]]/CryptoTable[[#This Row],[circulating_supply]]</f>
        <v>1.0168711167306204E-2</v>
      </c>
      <c r="J117" s="3">
        <f>RANK(CryptoTable[[#This Row],[market_cap]],CryptoTable[market_cap],0)</f>
        <v>116</v>
      </c>
      <c r="K117" s="3" t="str">
        <f t="shared" si="24"/>
        <v>0-0.5</v>
      </c>
      <c r="L117" s="3">
        <f t="shared" si="25"/>
        <v>0.1414389902244774</v>
      </c>
      <c r="M117" s="3">
        <f>C117-CryptoTable[[#This Row],[Previous_Price]]</f>
        <v>-2.0735474057929637E-3</v>
      </c>
      <c r="N117" s="3" t="str">
        <f t="shared" si="26"/>
        <v>&lt;10</v>
      </c>
      <c r="O117" s="3" t="str">
        <f t="shared" si="27"/>
        <v>0-50</v>
      </c>
      <c r="P117" s="3" t="str">
        <f t="shared" si="20"/>
        <v>Others</v>
      </c>
      <c r="Q117" s="3" t="str">
        <f t="shared" si="28"/>
        <v>No</v>
      </c>
      <c r="R117" s="3" t="str">
        <f t="shared" si="29"/>
        <v>&gt; 50</v>
      </c>
      <c r="S117" s="3">
        <f t="shared" si="30"/>
        <v>915561516.17056072</v>
      </c>
    </row>
    <row r="118" spans="1:19" x14ac:dyDescent="0.35">
      <c r="A118" s="3" t="s">
        <v>232</v>
      </c>
      <c r="B118" s="3" t="s">
        <v>233</v>
      </c>
      <c r="C118" s="3">
        <v>16.804953208605355</v>
      </c>
      <c r="D118" s="3">
        <v>-0.57289869000000004</v>
      </c>
      <c r="E118" s="3">
        <v>-4.2319155500000001</v>
      </c>
      <c r="F118" s="3">
        <v>335789537.9401961</v>
      </c>
      <c r="G118" s="3">
        <v>24294416.066703219</v>
      </c>
      <c r="H118" s="3">
        <v>19981581.25</v>
      </c>
      <c r="I118" s="3">
        <f>CryptoTable[[#This Row],[volume_24h]]/CryptoTable[[#This Row],[circulating_supply]]</f>
        <v>1.2158405164607891</v>
      </c>
      <c r="J118" s="3">
        <f>RANK(CryptoTable[[#This Row],[market_cap]],CryptoTable[market_cap],0)</f>
        <v>117</v>
      </c>
      <c r="K118" s="3" t="str">
        <f t="shared" si="24"/>
        <v>10-100</v>
      </c>
      <c r="L118" s="3">
        <f t="shared" si="25"/>
        <v>16.901783303739116</v>
      </c>
      <c r="M118" s="3">
        <f>C118-CryptoTable[[#This Row],[Previous_Price]]</f>
        <v>-9.6830095133761063E-2</v>
      </c>
      <c r="N118" s="3" t="str">
        <f t="shared" si="26"/>
        <v>&gt;=10</v>
      </c>
      <c r="O118" s="3" t="str">
        <f t="shared" si="27"/>
        <v>0-50</v>
      </c>
      <c r="P118" s="3" t="str">
        <f t="shared" si="20"/>
        <v>Others</v>
      </c>
      <c r="Q118" s="3" t="str">
        <f t="shared" si="28"/>
        <v>Yes</v>
      </c>
      <c r="R118" s="3" t="str">
        <f t="shared" si="29"/>
        <v>&gt; 50</v>
      </c>
      <c r="S118" s="3">
        <f t="shared" si="30"/>
        <v>118590372.87243247</v>
      </c>
    </row>
    <row r="119" spans="1:19" x14ac:dyDescent="0.35">
      <c r="A119" s="3" t="s">
        <v>234</v>
      </c>
      <c r="B119" s="3" t="s">
        <v>235</v>
      </c>
      <c r="C119" s="3">
        <v>6.0836569831439036E-2</v>
      </c>
      <c r="D119" s="3">
        <v>-0.87430492000000004</v>
      </c>
      <c r="E119" s="3">
        <v>-10.29409708</v>
      </c>
      <c r="F119" s="3">
        <v>316723981.11345029</v>
      </c>
      <c r="G119" s="3">
        <v>60706980.897529528</v>
      </c>
      <c r="H119" s="3">
        <v>5206144626.3489714</v>
      </c>
      <c r="I119" s="3">
        <f>CryptoTable[[#This Row],[volume_24h]]/CryptoTable[[#This Row],[circulating_supply]]</f>
        <v>1.1660640503585637E-2</v>
      </c>
      <c r="J119" s="3">
        <f>RANK(CryptoTable[[#This Row],[market_cap]],CryptoTable[market_cap],0)</f>
        <v>118</v>
      </c>
      <c r="K119" s="3" t="str">
        <f t="shared" si="24"/>
        <v>0-0.5</v>
      </c>
      <c r="L119" s="3">
        <f t="shared" si="25"/>
        <v>6.1373158374668155E-2</v>
      </c>
      <c r="M119" s="3">
        <f>C119-CryptoTable[[#This Row],[Previous_Price]]</f>
        <v>-5.3658854322911897E-4</v>
      </c>
      <c r="N119" s="3" t="str">
        <f t="shared" si="26"/>
        <v>&lt;10</v>
      </c>
      <c r="O119" s="3" t="str">
        <f t="shared" si="27"/>
        <v>0-50</v>
      </c>
      <c r="P119" s="3" t="str">
        <f t="shared" si="20"/>
        <v>Others</v>
      </c>
      <c r="Q119" s="3" t="str">
        <f t="shared" si="28"/>
        <v>No</v>
      </c>
      <c r="R119" s="3" t="str">
        <f t="shared" si="29"/>
        <v>&gt; 50</v>
      </c>
      <c r="S119" s="3">
        <f t="shared" si="30"/>
        <v>1840956202.196039</v>
      </c>
    </row>
    <row r="120" spans="1:19" x14ac:dyDescent="0.35">
      <c r="A120" s="3" t="s">
        <v>236</v>
      </c>
      <c r="B120" s="3" t="s">
        <v>237</v>
      </c>
      <c r="C120" s="3">
        <v>6.0763815498638775E-2</v>
      </c>
      <c r="D120" s="3">
        <v>-1.1061206299999999</v>
      </c>
      <c r="E120" s="3">
        <v>-9.0564413399999992</v>
      </c>
      <c r="F120" s="3">
        <v>314635433.11761856</v>
      </c>
      <c r="G120" s="3">
        <v>20550762.791840229</v>
      </c>
      <c r="H120" s="3">
        <v>5178006524.6999998</v>
      </c>
      <c r="I120" s="3">
        <f>CryptoTable[[#This Row],[volume_24h]]/CryptoTable[[#This Row],[circulating_supply]]</f>
        <v>3.9688561020171532E-3</v>
      </c>
      <c r="J120" s="3">
        <f>RANK(CryptoTable[[#This Row],[market_cap]],CryptoTable[market_cap],0)</f>
        <v>119</v>
      </c>
      <c r="K120" s="3" t="str">
        <f t="shared" si="24"/>
        <v>0-0.5</v>
      </c>
      <c r="L120" s="3">
        <f t="shared" si="25"/>
        <v>6.144345422156814E-2</v>
      </c>
      <c r="M120" s="3">
        <f>C120-CryptoTable[[#This Row],[Previous_Price]]</f>
        <v>-6.7963872292936545E-4</v>
      </c>
      <c r="N120" s="3" t="str">
        <f t="shared" si="26"/>
        <v>&lt;10</v>
      </c>
      <c r="O120" s="3" t="str">
        <f t="shared" si="27"/>
        <v>0-50</v>
      </c>
      <c r="P120" s="3" t="str">
        <f t="shared" si="20"/>
        <v>Others</v>
      </c>
      <c r="Q120" s="3" t="str">
        <f t="shared" si="28"/>
        <v>Yes</v>
      </c>
      <c r="R120" s="3" t="str">
        <f t="shared" si="29"/>
        <v>&gt; 50</v>
      </c>
      <c r="S120" s="3">
        <f t="shared" si="30"/>
        <v>1830880652.2371657</v>
      </c>
    </row>
    <row r="121" spans="1:19" x14ac:dyDescent="0.35">
      <c r="A121" s="3" t="s">
        <v>238</v>
      </c>
      <c r="B121" s="3" t="s">
        <v>239</v>
      </c>
      <c r="C121" s="3">
        <v>6.285669701689315E-3</v>
      </c>
      <c r="D121" s="3">
        <v>-6.8679240000000003E-2</v>
      </c>
      <c r="E121" s="3">
        <v>-5.7339418699999998</v>
      </c>
      <c r="F121" s="3">
        <v>310794936.37082279</v>
      </c>
      <c r="G121" s="3">
        <v>29193539.033721041</v>
      </c>
      <c r="H121" s="3">
        <v>49444999677.169579</v>
      </c>
      <c r="I121" s="3">
        <f>CryptoTable[[#This Row],[volume_24h]]/CryptoTable[[#This Row],[circulating_supply]]</f>
        <v>5.904244963965624E-4</v>
      </c>
      <c r="J121" s="3">
        <f>RANK(CryptoTable[[#This Row],[market_cap]],CryptoTable[market_cap],0)</f>
        <v>120</v>
      </c>
      <c r="K121" s="3" t="str">
        <f t="shared" si="24"/>
        <v>0-0.5</v>
      </c>
      <c r="L121" s="3">
        <f t="shared" si="25"/>
        <v>6.2899896187555556E-3</v>
      </c>
      <c r="M121" s="3">
        <f>C121-CryptoTable[[#This Row],[Previous_Price]]</f>
        <v>-4.3199170662406791E-6</v>
      </c>
      <c r="N121" s="3" t="str">
        <f t="shared" si="26"/>
        <v>&lt;10</v>
      </c>
      <c r="O121" s="3" t="str">
        <f t="shared" si="27"/>
        <v>0-50</v>
      </c>
      <c r="P121" s="3" t="str">
        <f t="shared" si="20"/>
        <v>Others</v>
      </c>
      <c r="Q121" s="3" t="str">
        <f t="shared" si="28"/>
        <v>No</v>
      </c>
      <c r="R121" s="3" t="str">
        <f t="shared" si="29"/>
        <v>&gt; 50</v>
      </c>
      <c r="S121" s="3">
        <f t="shared" si="30"/>
        <v>16585264871.157242</v>
      </c>
    </row>
    <row r="122" spans="1:19" x14ac:dyDescent="0.35">
      <c r="A122" s="3" t="s">
        <v>240</v>
      </c>
      <c r="B122" s="3" t="s">
        <v>241</v>
      </c>
      <c r="C122" s="3">
        <v>7.9809752283635031</v>
      </c>
      <c r="D122" s="3">
        <v>-1.1062634</v>
      </c>
      <c r="E122" s="3">
        <v>-10.24122938</v>
      </c>
      <c r="F122" s="3">
        <v>304902647.08545244</v>
      </c>
      <c r="G122" s="3">
        <v>34514945.95363161</v>
      </c>
      <c r="H122" s="3">
        <v>38203682.928605288</v>
      </c>
      <c r="I122" s="3">
        <f>CryptoTable[[#This Row],[volume_24h]]/CryptoTable[[#This Row],[circulating_supply]]</f>
        <v>0.90344551382998439</v>
      </c>
      <c r="J122" s="3">
        <f>RANK(CryptoTable[[#This Row],[market_cap]],CryptoTable[market_cap],0)</f>
        <v>121</v>
      </c>
      <c r="K122" s="3" t="str">
        <f t="shared" si="24"/>
        <v>2-10</v>
      </c>
      <c r="L122" s="3">
        <f t="shared" si="25"/>
        <v>8.0702534889995281</v>
      </c>
      <c r="M122" s="3">
        <f>C122-CryptoTable[[#This Row],[Previous_Price]]</f>
        <v>-8.9278260636024953E-2</v>
      </c>
      <c r="N122" s="3" t="str">
        <f t="shared" si="26"/>
        <v>&lt;10</v>
      </c>
      <c r="O122" s="3" t="str">
        <f t="shared" si="27"/>
        <v>0-50</v>
      </c>
      <c r="P122" s="3" t="str">
        <f t="shared" si="20"/>
        <v>Others</v>
      </c>
      <c r="Q122" s="3" t="str">
        <f t="shared" si="28"/>
        <v>Yes</v>
      </c>
      <c r="R122" s="3" t="str">
        <f t="shared" si="29"/>
        <v>&gt; 50</v>
      </c>
      <c r="S122" s="3">
        <f t="shared" si="30"/>
        <v>114368776.30259812</v>
      </c>
    </row>
    <row r="123" spans="1:19" x14ac:dyDescent="0.35">
      <c r="A123" s="3" t="s">
        <v>242</v>
      </c>
      <c r="B123" s="3" t="s">
        <v>243</v>
      </c>
      <c r="C123" s="3">
        <v>3.1972849187690143E-3</v>
      </c>
      <c r="D123" s="3">
        <v>-1.3710924900000001</v>
      </c>
      <c r="E123" s="3">
        <v>-10.597413299999999</v>
      </c>
      <c r="F123" s="3">
        <v>304377339.07817876</v>
      </c>
      <c r="G123" s="3">
        <v>2175191.5583892302</v>
      </c>
      <c r="H123" s="3">
        <v>95198691017.929993</v>
      </c>
      <c r="I123" s="3">
        <f>CryptoTable[[#This Row],[volume_24h]]/CryptoTable[[#This Row],[circulating_supply]]</f>
        <v>2.2848964992381547E-5</v>
      </c>
      <c r="J123" s="3">
        <f>RANK(CryptoTable[[#This Row],[market_cap]],CryptoTable[market_cap],0)</f>
        <v>122</v>
      </c>
      <c r="K123" s="3" t="str">
        <f t="shared" si="24"/>
        <v>0-0.5</v>
      </c>
      <c r="L123" s="3">
        <f t="shared" si="25"/>
        <v>3.2417320636394975E-3</v>
      </c>
      <c r="M123" s="3">
        <f>C123-CryptoTable[[#This Row],[Previous_Price]]</f>
        <v>-4.4447144870483207E-5</v>
      </c>
      <c r="N123" s="3" t="str">
        <f t="shared" si="26"/>
        <v>&lt;10</v>
      </c>
      <c r="O123" s="3" t="str">
        <f t="shared" si="27"/>
        <v>0-50</v>
      </c>
      <c r="P123" s="3" t="str">
        <f t="shared" si="20"/>
        <v>Others</v>
      </c>
      <c r="Q123" s="3" t="str">
        <f t="shared" si="28"/>
        <v>No</v>
      </c>
      <c r="R123" s="3" t="str">
        <f t="shared" si="29"/>
        <v>&gt; 50</v>
      </c>
      <c r="S123" s="3">
        <f t="shared" si="30"/>
        <v>31834356118.545696</v>
      </c>
    </row>
    <row r="124" spans="1:19" x14ac:dyDescent="0.35">
      <c r="A124" s="3" t="s">
        <v>244</v>
      </c>
      <c r="B124" s="3" t="s">
        <v>245</v>
      </c>
      <c r="C124" s="3">
        <v>0.11219290056957572</v>
      </c>
      <c r="D124" s="3">
        <v>-0.38558787999999999</v>
      </c>
      <c r="E124" s="3">
        <v>-7.5269425999999999</v>
      </c>
      <c r="F124" s="3">
        <v>299250912.25534415</v>
      </c>
      <c r="G124" s="3">
        <v>56207123.791446947</v>
      </c>
      <c r="H124" s="3">
        <v>2667289202.2233224</v>
      </c>
      <c r="I124" s="3">
        <f>CryptoTable[[#This Row],[volume_24h]]/CryptoTable[[#This Row],[circulating_supply]]</f>
        <v>2.1072751970275822E-2</v>
      </c>
      <c r="J124" s="3">
        <f>RANK(CryptoTable[[#This Row],[market_cap]],CryptoTable[market_cap],0)</f>
        <v>123</v>
      </c>
      <c r="K124" s="3" t="str">
        <f t="shared" si="24"/>
        <v>0-0.5</v>
      </c>
      <c r="L124" s="3">
        <f t="shared" si="25"/>
        <v>0.11262717731488804</v>
      </c>
      <c r="M124" s="3">
        <f>C124-CryptoTable[[#This Row],[Previous_Price]]</f>
        <v>-4.3427674531232308E-4</v>
      </c>
      <c r="N124" s="3" t="str">
        <f t="shared" si="26"/>
        <v>&lt;10</v>
      </c>
      <c r="O124" s="3" t="str">
        <f t="shared" si="27"/>
        <v>0-50</v>
      </c>
      <c r="P124" s="3" t="str">
        <f t="shared" si="20"/>
        <v>Others</v>
      </c>
      <c r="Q124" s="3" t="str">
        <f t="shared" si="28"/>
        <v>No</v>
      </c>
      <c r="R124" s="3" t="str">
        <f t="shared" si="29"/>
        <v>&gt; 50</v>
      </c>
      <c r="S124" s="3">
        <f t="shared" si="30"/>
        <v>988846704.69769287</v>
      </c>
    </row>
    <row r="125" spans="1:19" x14ac:dyDescent="0.35">
      <c r="A125" s="3" t="s">
        <v>246</v>
      </c>
      <c r="B125" s="3" t="s">
        <v>247</v>
      </c>
      <c r="C125" s="3">
        <v>0.31925072251785719</v>
      </c>
      <c r="D125" s="3">
        <v>-1.4079621200000001</v>
      </c>
      <c r="E125" s="3">
        <v>-13.00111298</v>
      </c>
      <c r="F125" s="3">
        <v>297220216.66398001</v>
      </c>
      <c r="G125" s="3">
        <v>17292722.837986201</v>
      </c>
      <c r="H125" s="3">
        <v>930993090.07000005</v>
      </c>
      <c r="I125" s="3">
        <f>CryptoTable[[#This Row],[volume_24h]]/CryptoTable[[#This Row],[circulating_supply]]</f>
        <v>1.8574491070267755E-2</v>
      </c>
      <c r="J125" s="3">
        <f>RANK(CryptoTable[[#This Row],[market_cap]],CryptoTable[market_cap],0)</f>
        <v>124</v>
      </c>
      <c r="K125" s="3" t="str">
        <f t="shared" si="24"/>
        <v>0-0.5</v>
      </c>
      <c r="L125" s="3">
        <f t="shared" si="25"/>
        <v>0.32380984244024752</v>
      </c>
      <c r="M125" s="3">
        <f>C125-CryptoTable[[#This Row],[Previous_Price]]</f>
        <v>-4.5591199223903311E-3</v>
      </c>
      <c r="N125" s="3" t="str">
        <f t="shared" si="26"/>
        <v>&lt;10</v>
      </c>
      <c r="O125" s="3" t="str">
        <f t="shared" si="27"/>
        <v>0-50</v>
      </c>
      <c r="P125" s="3" t="str">
        <f t="shared" si="20"/>
        <v>Others</v>
      </c>
      <c r="Q125" s="3" t="str">
        <f t="shared" si="28"/>
        <v>No</v>
      </c>
      <c r="R125" s="3" t="str">
        <f t="shared" si="29"/>
        <v>&gt; 50</v>
      </c>
      <c r="S125" s="3">
        <f t="shared" si="30"/>
        <v>409404435.10867262</v>
      </c>
    </row>
    <row r="126" spans="1:19" x14ac:dyDescent="0.35">
      <c r="A126" s="3" t="s">
        <v>248</v>
      </c>
      <c r="B126" s="3" t="s">
        <v>249</v>
      </c>
      <c r="C126" s="3">
        <v>17.08973305924523</v>
      </c>
      <c r="D126" s="3">
        <v>-1.02903279</v>
      </c>
      <c r="E126" s="3">
        <v>-5.8544280000000004</v>
      </c>
      <c r="F126" s="3">
        <v>294800537.44565821</v>
      </c>
      <c r="G126" s="3">
        <v>4265929.6292276001</v>
      </c>
      <c r="H126" s="3">
        <v>17250154.605906881</v>
      </c>
      <c r="I126" s="3">
        <f>CryptoTable[[#This Row],[volume_24h]]/CryptoTable[[#This Row],[circulating_supply]]</f>
        <v>0.24729805191234866</v>
      </c>
      <c r="J126" s="3">
        <f>RANK(CryptoTable[[#This Row],[market_cap]],CryptoTable[market_cap],0)</f>
        <v>125</v>
      </c>
      <c r="K126" s="3" t="str">
        <f t="shared" si="24"/>
        <v>10-100</v>
      </c>
      <c r="L126" s="3">
        <f t="shared" si="25"/>
        <v>17.267420477950516</v>
      </c>
      <c r="M126" s="3">
        <f>C126-CryptoTable[[#This Row],[Previous_Price]]</f>
        <v>-0.17768741870528615</v>
      </c>
      <c r="N126" s="3" t="str">
        <f t="shared" si="26"/>
        <v>&gt;=10</v>
      </c>
      <c r="O126" s="3" t="str">
        <f t="shared" si="27"/>
        <v>0-50</v>
      </c>
      <c r="P126" s="3" t="str">
        <f t="shared" si="20"/>
        <v>Others</v>
      </c>
      <c r="Q126" s="3" t="str">
        <f t="shared" si="28"/>
        <v>Yes</v>
      </c>
      <c r="R126" s="3" t="str">
        <f t="shared" si="29"/>
        <v>&gt; 50</v>
      </c>
      <c r="S126" s="3">
        <f t="shared" si="30"/>
        <v>104016897.00751078</v>
      </c>
    </row>
    <row r="127" spans="1:19" x14ac:dyDescent="0.35">
      <c r="A127" s="3" t="s">
        <v>250</v>
      </c>
      <c r="B127" s="3" t="s">
        <v>251</v>
      </c>
      <c r="C127" s="3">
        <v>1.7993701531126363</v>
      </c>
      <c r="D127" s="3">
        <v>-1.9802055000000001</v>
      </c>
      <c r="E127" s="3">
        <v>-8.1869369400000007</v>
      </c>
      <c r="F127" s="3">
        <v>293652658.93017012</v>
      </c>
      <c r="G127" s="3">
        <v>64879662.058241472</v>
      </c>
      <c r="H127" s="3">
        <v>163197471.30527633</v>
      </c>
      <c r="I127" s="3">
        <f>CryptoTable[[#This Row],[volume_24h]]/CryptoTable[[#This Row],[circulating_supply]]</f>
        <v>0.39755310875422767</v>
      </c>
      <c r="J127" s="3">
        <f>RANK(CryptoTable[[#This Row],[market_cap]],CryptoTable[market_cap],0)</f>
        <v>126</v>
      </c>
      <c r="K127" s="3" t="str">
        <f t="shared" si="24"/>
        <v>1-2</v>
      </c>
      <c r="L127" s="3">
        <f t="shared" si="25"/>
        <v>1.8357212053863632</v>
      </c>
      <c r="M127" s="3">
        <f>C127-CryptoTable[[#This Row],[Previous_Price]]</f>
        <v>-3.6351052273726925E-2</v>
      </c>
      <c r="N127" s="3" t="str">
        <f t="shared" si="26"/>
        <v>&lt;10</v>
      </c>
      <c r="O127" s="3" t="str">
        <f t="shared" si="27"/>
        <v>0-50</v>
      </c>
      <c r="P127" s="3" t="str">
        <f t="shared" si="20"/>
        <v>Others</v>
      </c>
      <c r="Q127" s="3" t="str">
        <f t="shared" si="28"/>
        <v>No</v>
      </c>
      <c r="R127" s="3" t="str">
        <f t="shared" si="29"/>
        <v>&gt; 50</v>
      </c>
      <c r="S127" s="3">
        <f t="shared" si="30"/>
        <v>152283376.08508033</v>
      </c>
    </row>
    <row r="128" spans="1:19" x14ac:dyDescent="0.35">
      <c r="A128" s="3" t="s">
        <v>252</v>
      </c>
      <c r="B128" s="3" t="s">
        <v>253</v>
      </c>
      <c r="C128" s="3">
        <v>0.28753772023741936</v>
      </c>
      <c r="D128" s="3">
        <v>-1.3596209800000001</v>
      </c>
      <c r="E128" s="3">
        <v>-6.9903941200000004</v>
      </c>
      <c r="F128" s="3">
        <v>287204044.24051559</v>
      </c>
      <c r="G128" s="3">
        <v>131725055.2764886</v>
      </c>
      <c r="H128" s="3">
        <v>998839540.09015501</v>
      </c>
      <c r="I128" s="3">
        <f>CryptoTable[[#This Row],[volume_24h]]/CryptoTable[[#This Row],[circulating_supply]]</f>
        <v>0.13187809451816368</v>
      </c>
      <c r="J128" s="3">
        <f>RANK(CryptoTable[[#This Row],[market_cap]],CryptoTable[market_cap],0)</f>
        <v>127</v>
      </c>
      <c r="K128" s="3" t="str">
        <f t="shared" si="24"/>
        <v>0-0.5</v>
      </c>
      <c r="L128" s="3">
        <f t="shared" si="25"/>
        <v>0.29150102938992067</v>
      </c>
      <c r="M128" s="3">
        <f>C128-CryptoTable[[#This Row],[Previous_Price]]</f>
        <v>-3.9633091525013153E-3</v>
      </c>
      <c r="N128" s="3" t="str">
        <f t="shared" si="26"/>
        <v>&lt;10</v>
      </c>
      <c r="O128" s="3" t="str">
        <f t="shared" si="27"/>
        <v>0-50</v>
      </c>
      <c r="P128" s="3" t="str">
        <f t="shared" si="20"/>
        <v>Others</v>
      </c>
      <c r="Q128" s="3" t="str">
        <f t="shared" si="28"/>
        <v>Yes</v>
      </c>
      <c r="R128" s="3" t="str">
        <f t="shared" si="29"/>
        <v>&gt; 50</v>
      </c>
      <c r="S128" s="3">
        <f t="shared" si="30"/>
        <v>428681194.3236832</v>
      </c>
    </row>
    <row r="129" spans="1:19" x14ac:dyDescent="0.35">
      <c r="A129" s="3" t="s">
        <v>254</v>
      </c>
      <c r="B129" s="3" t="s">
        <v>254</v>
      </c>
      <c r="C129" s="3">
        <v>2.7970084835463958E-3</v>
      </c>
      <c r="D129" s="3">
        <v>-4.962826E-2</v>
      </c>
      <c r="E129" s="3">
        <v>-2.9630608600000001</v>
      </c>
      <c r="F129" s="3">
        <v>275977093.25525403</v>
      </c>
      <c r="G129" s="3">
        <v>7319892.4726617998</v>
      </c>
      <c r="H129" s="3">
        <v>98668665067.949997</v>
      </c>
      <c r="I129" s="3">
        <f>CryptoTable[[#This Row],[volume_24h]]/CryptoTable[[#This Row],[circulating_supply]]</f>
        <v>7.418659680477911E-5</v>
      </c>
      <c r="J129" s="3">
        <f>RANK(CryptoTable[[#This Row],[market_cap]],CryptoTable[market_cap],0)</f>
        <v>128</v>
      </c>
      <c r="K129" s="3" t="str">
        <f t="shared" si="24"/>
        <v>0-0.5</v>
      </c>
      <c r="L129" s="3">
        <f t="shared" si="25"/>
        <v>2.7983972794240614E-3</v>
      </c>
      <c r="M129" s="3">
        <f>C129-CryptoTable[[#This Row],[Previous_Price]]</f>
        <v>-1.3887958776655912E-6</v>
      </c>
      <c r="N129" s="3" t="str">
        <f t="shared" si="26"/>
        <v>&lt;10</v>
      </c>
      <c r="O129" s="3" t="str">
        <f t="shared" si="27"/>
        <v>0-50</v>
      </c>
      <c r="P129" s="3" t="str">
        <f t="shared" si="20"/>
        <v>Others</v>
      </c>
      <c r="Q129" s="3" t="str">
        <f t="shared" si="28"/>
        <v>Yes</v>
      </c>
      <c r="R129" s="3" t="str">
        <f t="shared" si="29"/>
        <v>&gt; 50</v>
      </c>
      <c r="S129" s="3">
        <f t="shared" si="30"/>
        <v>32981547387.051876</v>
      </c>
    </row>
    <row r="130" spans="1:19" x14ac:dyDescent="0.35">
      <c r="A130" s="3" t="s">
        <v>255</v>
      </c>
      <c r="B130" s="3" t="s">
        <v>256</v>
      </c>
      <c r="C130" s="3">
        <v>3.7850140095921206E-2</v>
      </c>
      <c r="D130" s="3">
        <v>-3.46412845</v>
      </c>
      <c r="E130" s="3">
        <v>29.889913870000001</v>
      </c>
      <c r="F130" s="3">
        <v>273954729.87026024</v>
      </c>
      <c r="G130" s="3">
        <v>741026352.27478123</v>
      </c>
      <c r="H130" s="3">
        <v>7237878887</v>
      </c>
      <c r="I130" s="3">
        <f>CryptoTable[[#This Row],[volume_24h]]/CryptoTable[[#This Row],[circulating_supply]]</f>
        <v>0.10238170102649041</v>
      </c>
      <c r="J130" s="3">
        <f>RANK(CryptoTable[[#This Row],[market_cap]],CryptoTable[market_cap],0)</f>
        <v>129</v>
      </c>
      <c r="K130" s="3" t="str">
        <f t="shared" ref="K130:K161" si="31">IF(C130&lt;=0.5,"0-0.5",
IF(C130&lt;=1,"0.5-1",
IF(C130&lt;=2,"1-2",
IF(C130&lt;=10,"2-10",
IF(C130&lt;=100,"10-100",
IF(C130&lt;=10000,"100-10000","10000+"))))))</f>
        <v>0-0.5</v>
      </c>
      <c r="L130" s="3">
        <f t="shared" ref="L130:L161" si="32">C130/(1+D130/100)</f>
        <v>3.9208368338309374E-2</v>
      </c>
      <c r="M130" s="3">
        <f>C130-CryptoTable[[#This Row],[Previous_Price]]</f>
        <v>-1.3582282423881681E-3</v>
      </c>
      <c r="N130" s="3" t="str">
        <f t="shared" ref="N130:N161" si="33">IF(C130&gt;=10,"&gt;=10","&lt;10")</f>
        <v>&lt;10</v>
      </c>
      <c r="O130" s="3" t="str">
        <f t="shared" ref="O130:O161" si="34">IF(C130&lt;=50,"0-50","&gt;50")</f>
        <v>0-50</v>
      </c>
      <c r="P130" s="3" t="str">
        <f t="shared" ref="P130:P193" si="35">IF(J130&lt;=5,A130,"Others")</f>
        <v>Others</v>
      </c>
      <c r="Q130" s="3" t="str">
        <f t="shared" ref="Q130:Q161" si="36">IF(OR(
LEFT(A130,1)="A",
LEFT(A130,1)="E",
LEFT(A130,1)="I",
LEFT(A130,1)="O",
LEFT(A130,1)="U",
LEFT(A130,1)="B",
LEFT(A130,1)="C",
LEFT(A130,1)="D"
),
"Yes","No")</f>
        <v>No</v>
      </c>
      <c r="R130" s="3" t="str">
        <f t="shared" ref="R130:R161" si="37">IF(B130&lt;=0.05,"0 - 0.05",
IF(B130&lt;=0.5,"0.05 - 0.5",
IF(B130&lt;=5,"0.5 - 5",
IF(B130&lt;=50,"5 - 50",
"&gt; 50"))))</f>
        <v>&gt; 50</v>
      </c>
      <c r="S130" s="3">
        <f t="shared" ref="S130:S161" si="38">AVERAGE(D130,F130,H130)</f>
        <v>2503944537.8020439</v>
      </c>
    </row>
    <row r="131" spans="1:19" x14ac:dyDescent="0.35">
      <c r="A131" s="3" t="s">
        <v>257</v>
      </c>
      <c r="B131" s="3" t="s">
        <v>258</v>
      </c>
      <c r="C131" s="3">
        <v>0.26467199396360969</v>
      </c>
      <c r="D131" s="3">
        <v>-1.96034412</v>
      </c>
      <c r="E131" s="3">
        <v>-33.144207989999998</v>
      </c>
      <c r="F131" s="3">
        <v>264671002.23764831</v>
      </c>
      <c r="G131" s="3">
        <v>65711354.574785613</v>
      </c>
      <c r="H131" s="3">
        <v>999996253</v>
      </c>
      <c r="I131" s="3">
        <f>CryptoTable[[#This Row],[volume_24h]]/CryptoTable[[#This Row],[circulating_supply]]</f>
        <v>6.5711600796153791E-2</v>
      </c>
      <c r="J131" s="3">
        <f>RANK(CryptoTable[[#This Row],[market_cap]],CryptoTable[market_cap],0)</f>
        <v>130</v>
      </c>
      <c r="K131" s="3" t="str">
        <f t="shared" si="31"/>
        <v>0-0.5</v>
      </c>
      <c r="L131" s="3">
        <f t="shared" si="32"/>
        <v>0.26996422171000556</v>
      </c>
      <c r="M131" s="3">
        <f>C131-CryptoTable[[#This Row],[Previous_Price]]</f>
        <v>-5.2922277463958722E-3</v>
      </c>
      <c r="N131" s="3" t="str">
        <f t="shared" si="33"/>
        <v>&lt;10</v>
      </c>
      <c r="O131" s="3" t="str">
        <f t="shared" si="34"/>
        <v>0-50</v>
      </c>
      <c r="P131" s="3" t="str">
        <f t="shared" si="35"/>
        <v>Others</v>
      </c>
      <c r="Q131" s="3" t="str">
        <f t="shared" si="36"/>
        <v>No</v>
      </c>
      <c r="R131" s="3" t="str">
        <f t="shared" si="37"/>
        <v>&gt; 50</v>
      </c>
      <c r="S131" s="3">
        <f t="shared" si="38"/>
        <v>421555751.0924347</v>
      </c>
    </row>
    <row r="132" spans="1:19" x14ac:dyDescent="0.35">
      <c r="A132" s="3" t="s">
        <v>259</v>
      </c>
      <c r="B132" s="3" t="s">
        <v>260</v>
      </c>
      <c r="C132" s="3">
        <v>2.6057200873447553E-3</v>
      </c>
      <c r="D132" s="3">
        <v>-0.52993124999999996</v>
      </c>
      <c r="E132" s="3">
        <v>-6.6330624399999998</v>
      </c>
      <c r="F132" s="3">
        <v>255237801.94314286</v>
      </c>
      <c r="G132" s="3">
        <v>12328034.60372719</v>
      </c>
      <c r="H132" s="3">
        <v>97952885723.512894</v>
      </c>
      <c r="I132" s="3">
        <f>CryptoTable[[#This Row],[volume_24h]]/CryptoTable[[#This Row],[circulating_supply]]</f>
        <v>1.2585677810988608E-4</v>
      </c>
      <c r="J132" s="3">
        <f>RANK(CryptoTable[[#This Row],[market_cap]],CryptoTable[market_cap],0)</f>
        <v>131</v>
      </c>
      <c r="K132" s="3" t="str">
        <f t="shared" si="31"/>
        <v>0-0.5</v>
      </c>
      <c r="L132" s="3">
        <f t="shared" si="32"/>
        <v>2.6196021779111875E-3</v>
      </c>
      <c r="M132" s="3">
        <f>C132-CryptoTable[[#This Row],[Previous_Price]]</f>
        <v>-1.3882090566432175E-5</v>
      </c>
      <c r="N132" s="3" t="str">
        <f t="shared" si="33"/>
        <v>&lt;10</v>
      </c>
      <c r="O132" s="3" t="str">
        <f t="shared" si="34"/>
        <v>0-50</v>
      </c>
      <c r="P132" s="3" t="str">
        <f t="shared" si="35"/>
        <v>Others</v>
      </c>
      <c r="Q132" s="3" t="str">
        <f t="shared" si="36"/>
        <v>No</v>
      </c>
      <c r="R132" s="3" t="str">
        <f t="shared" si="37"/>
        <v>&gt; 50</v>
      </c>
      <c r="S132" s="3">
        <f t="shared" si="38"/>
        <v>32736041174.975368</v>
      </c>
    </row>
    <row r="133" spans="1:19" x14ac:dyDescent="0.35">
      <c r="A133" s="3" t="s">
        <v>261</v>
      </c>
      <c r="B133" s="3" t="s">
        <v>262</v>
      </c>
      <c r="C133" s="3">
        <v>5.3445214664735218E-3</v>
      </c>
      <c r="D133" s="3">
        <v>-0.71146549999999997</v>
      </c>
      <c r="E133" s="3">
        <v>-7.6662985199999998</v>
      </c>
      <c r="F133" s="3">
        <v>252144872.21550348</v>
      </c>
      <c r="G133" s="3">
        <v>38406733.28807047</v>
      </c>
      <c r="H133" s="3">
        <v>47178194305.556107</v>
      </c>
      <c r="I133" s="3">
        <f>CryptoTable[[#This Row],[volume_24h]]/CryptoTable[[#This Row],[circulating_supply]]</f>
        <v>8.1407806834072423E-4</v>
      </c>
      <c r="J133" s="3">
        <f>RANK(CryptoTable[[#This Row],[market_cap]],CryptoTable[market_cap],0)</f>
        <v>132</v>
      </c>
      <c r="K133" s="3" t="str">
        <f t="shared" si="31"/>
        <v>0-0.5</v>
      </c>
      <c r="L133" s="3">
        <f t="shared" si="32"/>
        <v>5.382818362047152E-3</v>
      </c>
      <c r="M133" s="3">
        <f>C133-CryptoTable[[#This Row],[Previous_Price]]</f>
        <v>-3.8296895573630176E-5</v>
      </c>
      <c r="N133" s="3" t="str">
        <f t="shared" si="33"/>
        <v>&lt;10</v>
      </c>
      <c r="O133" s="3" t="str">
        <f t="shared" si="34"/>
        <v>0-50</v>
      </c>
      <c r="P133" s="3" t="str">
        <f t="shared" si="35"/>
        <v>Others</v>
      </c>
      <c r="Q133" s="3" t="str">
        <f t="shared" si="36"/>
        <v>No</v>
      </c>
      <c r="R133" s="3" t="str">
        <f t="shared" si="37"/>
        <v>&gt; 50</v>
      </c>
      <c r="S133" s="3">
        <f t="shared" si="38"/>
        <v>15810113059.020048</v>
      </c>
    </row>
    <row r="134" spans="1:19" x14ac:dyDescent="0.35">
      <c r="A134" s="3" t="s">
        <v>263</v>
      </c>
      <c r="B134" s="3" t="s">
        <v>264</v>
      </c>
      <c r="C134" s="3">
        <v>0.24787303153836143</v>
      </c>
      <c r="D134" s="3">
        <v>-1.1125177799999999</v>
      </c>
      <c r="E134" s="3">
        <v>-15.291306730000001</v>
      </c>
      <c r="F134" s="3">
        <v>247872599.24779442</v>
      </c>
      <c r="G134" s="3">
        <v>91633900.124852136</v>
      </c>
      <c r="H134" s="3">
        <v>999998256</v>
      </c>
      <c r="I134" s="3">
        <f>CryptoTable[[#This Row],[volume_24h]]/CryptoTable[[#This Row],[circulating_supply]]</f>
        <v>9.1634059934652665E-2</v>
      </c>
      <c r="J134" s="3">
        <f>RANK(CryptoTable[[#This Row],[market_cap]],CryptoTable[market_cap],0)</f>
        <v>133</v>
      </c>
      <c r="K134" s="3" t="str">
        <f t="shared" si="31"/>
        <v>0-0.5</v>
      </c>
      <c r="L134" s="3">
        <f t="shared" si="32"/>
        <v>0.25066168737809069</v>
      </c>
      <c r="M134" s="3">
        <f>C134-CryptoTable[[#This Row],[Previous_Price]]</f>
        <v>-2.7886558397292593E-3</v>
      </c>
      <c r="N134" s="3" t="str">
        <f t="shared" si="33"/>
        <v>&lt;10</v>
      </c>
      <c r="O134" s="3" t="str">
        <f t="shared" si="34"/>
        <v>0-50</v>
      </c>
      <c r="P134" s="3" t="str">
        <f t="shared" si="35"/>
        <v>Others</v>
      </c>
      <c r="Q134" s="3" t="str">
        <f t="shared" si="36"/>
        <v>No</v>
      </c>
      <c r="R134" s="3" t="str">
        <f t="shared" si="37"/>
        <v>&gt; 50</v>
      </c>
      <c r="S134" s="3">
        <f t="shared" si="38"/>
        <v>415956951.37842554</v>
      </c>
    </row>
    <row r="135" spans="1:19" x14ac:dyDescent="0.35">
      <c r="A135" s="3" t="s">
        <v>265</v>
      </c>
      <c r="B135" s="3" t="s">
        <v>266</v>
      </c>
      <c r="C135" s="3">
        <v>0.12314070528592488</v>
      </c>
      <c r="D135" s="3">
        <v>-0.31870938999999998</v>
      </c>
      <c r="E135" s="3">
        <v>-7.3030524000000003</v>
      </c>
      <c r="F135" s="3">
        <v>242553819.55895558</v>
      </c>
      <c r="G135" s="3">
        <v>33826142.237117477</v>
      </c>
      <c r="H135" s="3">
        <v>1969729010.368757</v>
      </c>
      <c r="I135" s="3">
        <f>CryptoTable[[#This Row],[volume_24h]]/CryptoTable[[#This Row],[circulating_supply]]</f>
        <v>1.7172992863005464E-2</v>
      </c>
      <c r="J135" s="3">
        <f>RANK(CryptoTable[[#This Row],[market_cap]],CryptoTable[market_cap],0)</f>
        <v>134</v>
      </c>
      <c r="K135" s="3" t="str">
        <f t="shared" si="31"/>
        <v>0-0.5</v>
      </c>
      <c r="L135" s="3">
        <f t="shared" si="32"/>
        <v>0.12353442108580751</v>
      </c>
      <c r="M135" s="3">
        <f>C135-CryptoTable[[#This Row],[Previous_Price]]</f>
        <v>-3.9371579988262129E-4</v>
      </c>
      <c r="N135" s="3" t="str">
        <f t="shared" si="33"/>
        <v>&lt;10</v>
      </c>
      <c r="O135" s="3" t="str">
        <f t="shared" si="34"/>
        <v>0-50</v>
      </c>
      <c r="P135" s="3" t="str">
        <f t="shared" si="35"/>
        <v>Others</v>
      </c>
      <c r="Q135" s="3" t="str">
        <f t="shared" si="36"/>
        <v>Yes</v>
      </c>
      <c r="R135" s="3" t="str">
        <f t="shared" si="37"/>
        <v>&gt; 50</v>
      </c>
      <c r="S135" s="3">
        <f t="shared" si="38"/>
        <v>737427609.86966765</v>
      </c>
    </row>
    <row r="136" spans="1:19" x14ac:dyDescent="0.35">
      <c r="A136" s="3" t="s">
        <v>267</v>
      </c>
      <c r="B136" s="3" t="s">
        <v>268</v>
      </c>
      <c r="C136" s="3">
        <v>2.8796899775276081</v>
      </c>
      <c r="D136" s="3">
        <v>-5.0970170000000002E-2</v>
      </c>
      <c r="E136" s="3">
        <v>-6.8581888700000002</v>
      </c>
      <c r="F136" s="3">
        <v>241127043.83357725</v>
      </c>
      <c r="G136" s="3">
        <v>6365494.7486231104</v>
      </c>
      <c r="H136" s="3">
        <v>83733681.651592135</v>
      </c>
      <c r="I136" s="3">
        <f>CryptoTable[[#This Row],[volume_24h]]/CryptoTable[[#This Row],[circulating_supply]]</f>
        <v>7.6020719775697035E-2</v>
      </c>
      <c r="J136" s="3">
        <f>RANK(CryptoTable[[#This Row],[market_cap]],CryptoTable[market_cap],0)</f>
        <v>135</v>
      </c>
      <c r="K136" s="3" t="str">
        <f t="shared" si="31"/>
        <v>2-10</v>
      </c>
      <c r="L136" s="3">
        <f t="shared" si="32"/>
        <v>2.8811585089175726</v>
      </c>
      <c r="M136" s="3">
        <f>C136-CryptoTable[[#This Row],[Previous_Price]]</f>
        <v>-1.4685313899645003E-3</v>
      </c>
      <c r="N136" s="3" t="str">
        <f t="shared" si="33"/>
        <v>&lt;10</v>
      </c>
      <c r="O136" s="3" t="str">
        <f t="shared" si="34"/>
        <v>0-50</v>
      </c>
      <c r="P136" s="3" t="str">
        <f t="shared" si="35"/>
        <v>Others</v>
      </c>
      <c r="Q136" s="3" t="str">
        <f t="shared" si="36"/>
        <v>Yes</v>
      </c>
      <c r="R136" s="3" t="str">
        <f t="shared" si="37"/>
        <v>&gt; 50</v>
      </c>
      <c r="S136" s="3">
        <f t="shared" si="38"/>
        <v>108286908.4780664</v>
      </c>
    </row>
    <row r="137" spans="1:19" x14ac:dyDescent="0.35">
      <c r="A137" s="3" t="s">
        <v>269</v>
      </c>
      <c r="B137" s="3" t="s">
        <v>270</v>
      </c>
      <c r="C137" s="3">
        <v>0.8951060768365332</v>
      </c>
      <c r="D137" s="3">
        <v>-1.36349331</v>
      </c>
      <c r="E137" s="3">
        <v>-9.0884606600000009</v>
      </c>
      <c r="F137" s="3">
        <v>240466925.7227897</v>
      </c>
      <c r="G137" s="3">
        <v>34532426.201847717</v>
      </c>
      <c r="H137" s="3">
        <v>268646288.90985</v>
      </c>
      <c r="I137" s="3">
        <f>CryptoTable[[#This Row],[volume_24h]]/CryptoTable[[#This Row],[circulating_supply]]</f>
        <v>0.12854235337468523</v>
      </c>
      <c r="J137" s="3">
        <f>RANK(CryptoTable[[#This Row],[market_cap]],CryptoTable[market_cap],0)</f>
        <v>136</v>
      </c>
      <c r="K137" s="3" t="str">
        <f t="shared" si="31"/>
        <v>0.5-1</v>
      </c>
      <c r="L137" s="3">
        <f t="shared" si="32"/>
        <v>0.90747949909633319</v>
      </c>
      <c r="M137" s="3">
        <f>C137-CryptoTable[[#This Row],[Previous_Price]]</f>
        <v>-1.2373422259799982E-2</v>
      </c>
      <c r="N137" s="3" t="str">
        <f t="shared" si="33"/>
        <v>&lt;10</v>
      </c>
      <c r="O137" s="3" t="str">
        <f t="shared" si="34"/>
        <v>0-50</v>
      </c>
      <c r="P137" s="3" t="str">
        <f t="shared" si="35"/>
        <v>Others</v>
      </c>
      <c r="Q137" s="3" t="str">
        <f t="shared" si="36"/>
        <v>No</v>
      </c>
      <c r="R137" s="3" t="str">
        <f t="shared" si="37"/>
        <v>&gt; 50</v>
      </c>
      <c r="S137" s="3">
        <f t="shared" si="38"/>
        <v>169704404.42304879</v>
      </c>
    </row>
    <row r="138" spans="1:19" x14ac:dyDescent="0.35">
      <c r="A138" s="3" t="s">
        <v>271</v>
      </c>
      <c r="B138" s="3" t="s">
        <v>272</v>
      </c>
      <c r="C138" s="3">
        <v>0.13332160518606487</v>
      </c>
      <c r="D138" s="3">
        <v>-0.97131440000000002</v>
      </c>
      <c r="E138" s="3">
        <v>-8.3023854299999993</v>
      </c>
      <c r="F138" s="3">
        <v>239978889.33491677</v>
      </c>
      <c r="G138" s="3">
        <v>80233780.207519025</v>
      </c>
      <c r="H138" s="3">
        <v>1800000000</v>
      </c>
      <c r="I138" s="3">
        <f>CryptoTable[[#This Row],[volume_24h]]/CryptoTable[[#This Row],[circulating_supply]]</f>
        <v>4.4574322337510568E-2</v>
      </c>
      <c r="J138" s="3">
        <f>RANK(CryptoTable[[#This Row],[market_cap]],CryptoTable[market_cap],0)</f>
        <v>137</v>
      </c>
      <c r="K138" s="3" t="str">
        <f t="shared" si="31"/>
        <v>0-0.5</v>
      </c>
      <c r="L138" s="3">
        <f t="shared" si="32"/>
        <v>0.13462927875725017</v>
      </c>
      <c r="M138" s="3">
        <f>C138-CryptoTable[[#This Row],[Previous_Price]]</f>
        <v>-1.3076735711853027E-3</v>
      </c>
      <c r="N138" s="3" t="str">
        <f t="shared" si="33"/>
        <v>&lt;10</v>
      </c>
      <c r="O138" s="3" t="str">
        <f t="shared" si="34"/>
        <v>0-50</v>
      </c>
      <c r="P138" s="3" t="str">
        <f t="shared" si="35"/>
        <v>Others</v>
      </c>
      <c r="Q138" s="3" t="str">
        <f t="shared" si="36"/>
        <v>No</v>
      </c>
      <c r="R138" s="3" t="str">
        <f t="shared" si="37"/>
        <v>&gt; 50</v>
      </c>
      <c r="S138" s="3">
        <f t="shared" si="38"/>
        <v>679992962.78786743</v>
      </c>
    </row>
    <row r="139" spans="1:19" x14ac:dyDescent="0.35">
      <c r="A139" s="3" t="s">
        <v>273</v>
      </c>
      <c r="B139" s="3" t="s">
        <v>274</v>
      </c>
      <c r="C139" s="3">
        <v>0.23997035746110276</v>
      </c>
      <c r="D139" s="3">
        <v>-0.72432288</v>
      </c>
      <c r="E139" s="3">
        <v>-9.28685106</v>
      </c>
      <c r="F139" s="3">
        <v>239970357.46110275</v>
      </c>
      <c r="G139" s="3">
        <v>16020461.13793589</v>
      </c>
      <c r="H139" s="3">
        <v>1000000000</v>
      </c>
      <c r="I139" s="3">
        <f>CryptoTable[[#This Row],[volume_24h]]/CryptoTable[[#This Row],[circulating_supply]]</f>
        <v>1.6020461137935892E-2</v>
      </c>
      <c r="J139" s="3">
        <f>RANK(CryptoTable[[#This Row],[market_cap]],CryptoTable[market_cap],0)</f>
        <v>138</v>
      </c>
      <c r="K139" s="3" t="str">
        <f t="shared" si="31"/>
        <v>0-0.5</v>
      </c>
      <c r="L139" s="3">
        <f t="shared" si="32"/>
        <v>0.24172119941427073</v>
      </c>
      <c r="M139" s="3">
        <f>C139-CryptoTable[[#This Row],[Previous_Price]]</f>
        <v>-1.7508419531679642E-3</v>
      </c>
      <c r="N139" s="3" t="str">
        <f t="shared" si="33"/>
        <v>&lt;10</v>
      </c>
      <c r="O139" s="3" t="str">
        <f t="shared" si="34"/>
        <v>0-50</v>
      </c>
      <c r="P139" s="3" t="str">
        <f t="shared" si="35"/>
        <v>Others</v>
      </c>
      <c r="Q139" s="3" t="str">
        <f t="shared" si="36"/>
        <v>No</v>
      </c>
      <c r="R139" s="3" t="str">
        <f t="shared" si="37"/>
        <v>&gt; 50</v>
      </c>
      <c r="S139" s="3">
        <f t="shared" si="38"/>
        <v>413323452.24559331</v>
      </c>
    </row>
    <row r="140" spans="1:19" x14ac:dyDescent="0.35">
      <c r="A140" s="3" t="s">
        <v>275</v>
      </c>
      <c r="B140" s="3" t="s">
        <v>276</v>
      </c>
      <c r="C140" s="3">
        <v>6.3500337044308528E-3</v>
      </c>
      <c r="D140" s="3">
        <v>-2.1047810899999999</v>
      </c>
      <c r="E140" s="3">
        <v>-5.2139933100000002</v>
      </c>
      <c r="F140" s="3">
        <v>233558091.9929511</v>
      </c>
      <c r="G140" s="3">
        <v>31771253.054983929</v>
      </c>
      <c r="H140" s="3">
        <v>36780606665.12394</v>
      </c>
      <c r="I140" s="3">
        <f>CryptoTable[[#This Row],[volume_24h]]/CryptoTable[[#This Row],[circulating_supply]]</f>
        <v>8.6380448653964226E-4</v>
      </c>
      <c r="J140" s="3">
        <f>RANK(CryptoTable[[#This Row],[market_cap]],CryptoTable[market_cap],0)</f>
        <v>139</v>
      </c>
      <c r="K140" s="3" t="str">
        <f t="shared" si="31"/>
        <v>0-0.5</v>
      </c>
      <c r="L140" s="3">
        <f t="shared" si="32"/>
        <v>6.4865616269460082E-3</v>
      </c>
      <c r="M140" s="3">
        <f>C140-CryptoTable[[#This Row],[Previous_Price]]</f>
        <v>-1.3652792251515541E-4</v>
      </c>
      <c r="N140" s="3" t="str">
        <f t="shared" si="33"/>
        <v>&lt;10</v>
      </c>
      <c r="O140" s="3" t="str">
        <f t="shared" si="34"/>
        <v>0-50</v>
      </c>
      <c r="P140" s="3" t="str">
        <f t="shared" si="35"/>
        <v>Others</v>
      </c>
      <c r="Q140" s="3" t="str">
        <f t="shared" si="36"/>
        <v>Yes</v>
      </c>
      <c r="R140" s="3" t="str">
        <f t="shared" si="37"/>
        <v>&gt; 50</v>
      </c>
      <c r="S140" s="3">
        <f t="shared" si="38"/>
        <v>12338054918.33737</v>
      </c>
    </row>
    <row r="141" spans="1:19" x14ac:dyDescent="0.35">
      <c r="A141" s="3" t="s">
        <v>277</v>
      </c>
      <c r="B141" s="3" t="s">
        <v>278</v>
      </c>
      <c r="C141" s="3">
        <v>3.2709111958425696</v>
      </c>
      <c r="D141" s="3">
        <v>-0.50274777000000004</v>
      </c>
      <c r="E141" s="3">
        <v>-5.9375116999999999</v>
      </c>
      <c r="F141" s="3">
        <v>230726252.05954692</v>
      </c>
      <c r="G141" s="3">
        <v>19163017.840465572</v>
      </c>
      <c r="H141" s="3">
        <v>70538831</v>
      </c>
      <c r="I141" s="3">
        <f>CryptoTable[[#This Row],[volume_24h]]/CryptoTable[[#This Row],[circulating_supply]]</f>
        <v>0.27166622367849519</v>
      </c>
      <c r="J141" s="3">
        <f>RANK(CryptoTable[[#This Row],[market_cap]],CryptoTable[market_cap],0)</f>
        <v>140</v>
      </c>
      <c r="K141" s="3" t="str">
        <f t="shared" si="31"/>
        <v>2-10</v>
      </c>
      <c r="L141" s="3">
        <f t="shared" si="32"/>
        <v>3.2874387207010103</v>
      </c>
      <c r="M141" s="3">
        <f>C141-CryptoTable[[#This Row],[Previous_Price]]</f>
        <v>-1.6527524858440668E-2</v>
      </c>
      <c r="N141" s="3" t="str">
        <f t="shared" si="33"/>
        <v>&lt;10</v>
      </c>
      <c r="O141" s="3" t="str">
        <f t="shared" si="34"/>
        <v>0-50</v>
      </c>
      <c r="P141" s="3" t="str">
        <f t="shared" si="35"/>
        <v>Others</v>
      </c>
      <c r="Q141" s="3" t="str">
        <f t="shared" si="36"/>
        <v>No</v>
      </c>
      <c r="R141" s="3" t="str">
        <f t="shared" si="37"/>
        <v>&gt; 50</v>
      </c>
      <c r="S141" s="3">
        <f t="shared" si="38"/>
        <v>100421694.18559973</v>
      </c>
    </row>
    <row r="142" spans="1:19" x14ac:dyDescent="0.35">
      <c r="A142" s="3" t="s">
        <v>279</v>
      </c>
      <c r="B142" s="3" t="s">
        <v>280</v>
      </c>
      <c r="C142" s="3">
        <v>2.0571420788262372E-2</v>
      </c>
      <c r="D142" s="3">
        <v>-3.1699956999999999</v>
      </c>
      <c r="E142" s="3">
        <v>0.93145518000000005</v>
      </c>
      <c r="F142" s="3">
        <v>222800488.42148367</v>
      </c>
      <c r="G142" s="3">
        <v>116544719.73873447</v>
      </c>
      <c r="H142" s="3">
        <v>10830583396</v>
      </c>
      <c r="I142" s="3">
        <f>CryptoTable[[#This Row],[volume_24h]]/CryptoTable[[#This Row],[circulating_supply]]</f>
        <v>1.0760705631219948E-2</v>
      </c>
      <c r="J142" s="3">
        <f>RANK(CryptoTable[[#This Row],[market_cap]],CryptoTable[market_cap],0)</f>
        <v>141</v>
      </c>
      <c r="K142" s="3" t="str">
        <f t="shared" si="31"/>
        <v>0-0.5</v>
      </c>
      <c r="L142" s="3">
        <f t="shared" si="32"/>
        <v>2.1244882654892511E-2</v>
      </c>
      <c r="M142" s="3">
        <f>C142-CryptoTable[[#This Row],[Previous_Price]]</f>
        <v>-6.7346186663013938E-4</v>
      </c>
      <c r="N142" s="3" t="str">
        <f t="shared" si="33"/>
        <v>&lt;10</v>
      </c>
      <c r="O142" s="3" t="str">
        <f t="shared" si="34"/>
        <v>0-50</v>
      </c>
      <c r="P142" s="3" t="str">
        <f t="shared" si="35"/>
        <v>Others</v>
      </c>
      <c r="Q142" s="3" t="str">
        <f t="shared" si="36"/>
        <v>No</v>
      </c>
      <c r="R142" s="3" t="str">
        <f t="shared" si="37"/>
        <v>&gt; 50</v>
      </c>
      <c r="S142" s="3">
        <f t="shared" si="38"/>
        <v>3684461293.7504959</v>
      </c>
    </row>
    <row r="143" spans="1:19" x14ac:dyDescent="0.35">
      <c r="A143" s="3" t="s">
        <v>281</v>
      </c>
      <c r="B143" s="3" t="s">
        <v>282</v>
      </c>
      <c r="C143" s="3">
        <v>0.14802558037305058</v>
      </c>
      <c r="D143" s="3">
        <v>-0.89586737000000005</v>
      </c>
      <c r="E143" s="3">
        <v>-9.6939278299999998</v>
      </c>
      <c r="F143" s="3">
        <v>221403852.53719127</v>
      </c>
      <c r="G143" s="3">
        <v>22021296.01245413</v>
      </c>
      <c r="H143" s="3">
        <v>1495713456.9526057</v>
      </c>
      <c r="I143" s="3">
        <f>CryptoTable[[#This Row],[volume_24h]]/CryptoTable[[#This Row],[circulating_supply]]</f>
        <v>1.4722937679066368E-2</v>
      </c>
      <c r="J143" s="3">
        <f>RANK(CryptoTable[[#This Row],[market_cap]],CryptoTable[market_cap],0)</f>
        <v>142</v>
      </c>
      <c r="K143" s="3" t="str">
        <f t="shared" si="31"/>
        <v>0-0.5</v>
      </c>
      <c r="L143" s="3">
        <f t="shared" si="32"/>
        <v>0.14936368085243851</v>
      </c>
      <c r="M143" s="3">
        <f>C143-CryptoTable[[#This Row],[Previous_Price]]</f>
        <v>-1.338100479387927E-3</v>
      </c>
      <c r="N143" s="3" t="str">
        <f t="shared" si="33"/>
        <v>&lt;10</v>
      </c>
      <c r="O143" s="3" t="str">
        <f t="shared" si="34"/>
        <v>0-50</v>
      </c>
      <c r="P143" s="3" t="str">
        <f t="shared" si="35"/>
        <v>Others</v>
      </c>
      <c r="Q143" s="3" t="str">
        <f t="shared" si="36"/>
        <v>Yes</v>
      </c>
      <c r="R143" s="3" t="str">
        <f t="shared" si="37"/>
        <v>&gt; 50</v>
      </c>
      <c r="S143" s="3">
        <f t="shared" si="38"/>
        <v>572372436.19797647</v>
      </c>
    </row>
    <row r="144" spans="1:19" x14ac:dyDescent="0.35">
      <c r="A144" s="3" t="s">
        <v>283</v>
      </c>
      <c r="B144" s="3" t="s">
        <v>284</v>
      </c>
      <c r="C144" s="3">
        <v>21.968716644783374</v>
      </c>
      <c r="D144" s="3">
        <v>-1.0486155800000001</v>
      </c>
      <c r="E144" s="3">
        <v>-7.7227884099999997</v>
      </c>
      <c r="F144" s="3">
        <v>218913591.02718726</v>
      </c>
      <c r="G144" s="3">
        <v>33006808.80450891</v>
      </c>
      <c r="H144" s="3">
        <v>9964787.4096081909</v>
      </c>
      <c r="I144" s="3">
        <f>CryptoTable[[#This Row],[volume_24h]]/CryptoTable[[#This Row],[circulating_supply]]</f>
        <v>3.3123445034746322</v>
      </c>
      <c r="J144" s="3">
        <f>RANK(CryptoTable[[#This Row],[market_cap]],CryptoTable[market_cap],0)</f>
        <v>143</v>
      </c>
      <c r="K144" s="3" t="str">
        <f t="shared" si="31"/>
        <v>10-100</v>
      </c>
      <c r="L144" s="3">
        <f t="shared" si="32"/>
        <v>22.201525298056435</v>
      </c>
      <c r="M144" s="3">
        <f>C144-CryptoTable[[#This Row],[Previous_Price]]</f>
        <v>-0.23280865327306088</v>
      </c>
      <c r="N144" s="3" t="str">
        <f t="shared" si="33"/>
        <v>&gt;=10</v>
      </c>
      <c r="O144" s="3" t="str">
        <f t="shared" si="34"/>
        <v>0-50</v>
      </c>
      <c r="P144" s="3" t="str">
        <f t="shared" si="35"/>
        <v>Others</v>
      </c>
      <c r="Q144" s="3" t="str">
        <f t="shared" si="36"/>
        <v>Yes</v>
      </c>
      <c r="R144" s="3" t="str">
        <f t="shared" si="37"/>
        <v>&gt; 50</v>
      </c>
      <c r="S144" s="3">
        <f t="shared" si="38"/>
        <v>76292792.462726623</v>
      </c>
    </row>
    <row r="145" spans="1:19" x14ac:dyDescent="0.35">
      <c r="A145" s="3" t="s">
        <v>285</v>
      </c>
      <c r="B145" s="3" t="s">
        <v>286</v>
      </c>
      <c r="C145" s="3">
        <v>0.21773544067514311</v>
      </c>
      <c r="D145" s="3">
        <v>-0.3634193</v>
      </c>
      <c r="E145" s="3">
        <v>-4.5102545999999997</v>
      </c>
      <c r="F145" s="3">
        <v>217735440.67514312</v>
      </c>
      <c r="G145" s="3">
        <v>9545613.1627575494</v>
      </c>
      <c r="H145" s="3">
        <v>1000000000</v>
      </c>
      <c r="I145" s="3">
        <f>CryptoTable[[#This Row],[volume_24h]]/CryptoTable[[#This Row],[circulating_supply]]</f>
        <v>9.5456131627575502E-3</v>
      </c>
      <c r="J145" s="3">
        <f>RANK(CryptoTable[[#This Row],[market_cap]],CryptoTable[market_cap],0)</f>
        <v>144</v>
      </c>
      <c r="K145" s="3" t="str">
        <f t="shared" si="31"/>
        <v>0-0.5</v>
      </c>
      <c r="L145" s="3">
        <f t="shared" si="32"/>
        <v>0.21852961948858118</v>
      </c>
      <c r="M145" s="3">
        <f>C145-CryptoTable[[#This Row],[Previous_Price]]</f>
        <v>-7.9417881343807339E-4</v>
      </c>
      <c r="N145" s="3" t="str">
        <f t="shared" si="33"/>
        <v>&lt;10</v>
      </c>
      <c r="O145" s="3" t="str">
        <f t="shared" si="34"/>
        <v>0-50</v>
      </c>
      <c r="P145" s="3" t="str">
        <f t="shared" si="35"/>
        <v>Others</v>
      </c>
      <c r="Q145" s="3" t="str">
        <f t="shared" si="36"/>
        <v>No</v>
      </c>
      <c r="R145" s="3" t="str">
        <f t="shared" si="37"/>
        <v>&gt; 50</v>
      </c>
      <c r="S145" s="3">
        <f t="shared" si="38"/>
        <v>405911813.43724126</v>
      </c>
    </row>
    <row r="146" spans="1:19" x14ac:dyDescent="0.35">
      <c r="A146" s="3" t="s">
        <v>287</v>
      </c>
      <c r="B146" s="3" t="s">
        <v>288</v>
      </c>
      <c r="C146" s="3">
        <v>0.11967183970392617</v>
      </c>
      <c r="D146" s="3">
        <v>-1.3369418500000001</v>
      </c>
      <c r="E146" s="3">
        <v>-14.543356080000001</v>
      </c>
      <c r="F146" s="3">
        <v>215409311.46706709</v>
      </c>
      <c r="G146" s="3">
        <v>132732198.58290468</v>
      </c>
      <c r="H146" s="3">
        <v>1800000000</v>
      </c>
      <c r="I146" s="3">
        <f>CryptoTable[[#This Row],[volume_24h]]/CryptoTable[[#This Row],[circulating_supply]]</f>
        <v>7.3740110323835928E-2</v>
      </c>
      <c r="J146" s="3">
        <f>RANK(CryptoTable[[#This Row],[market_cap]],CryptoTable[market_cap],0)</f>
        <v>145</v>
      </c>
      <c r="K146" s="3" t="str">
        <f t="shared" si="31"/>
        <v>0-0.5</v>
      </c>
      <c r="L146" s="3">
        <f t="shared" si="32"/>
        <v>0.12129346276899908</v>
      </c>
      <c r="M146" s="3">
        <f>C146-CryptoTable[[#This Row],[Previous_Price]]</f>
        <v>-1.621623065072908E-3</v>
      </c>
      <c r="N146" s="3" t="str">
        <f t="shared" si="33"/>
        <v>&lt;10</v>
      </c>
      <c r="O146" s="3" t="str">
        <f t="shared" si="34"/>
        <v>0-50</v>
      </c>
      <c r="P146" s="3" t="str">
        <f t="shared" si="35"/>
        <v>Others</v>
      </c>
      <c r="Q146" s="3" t="str">
        <f t="shared" si="36"/>
        <v>No</v>
      </c>
      <c r="R146" s="3" t="str">
        <f t="shared" si="37"/>
        <v>&gt; 50</v>
      </c>
      <c r="S146" s="3">
        <f t="shared" si="38"/>
        <v>671803103.37670839</v>
      </c>
    </row>
    <row r="147" spans="1:19" x14ac:dyDescent="0.35">
      <c r="A147" s="3" t="s">
        <v>289</v>
      </c>
      <c r="B147" s="3" t="s">
        <v>290</v>
      </c>
      <c r="C147" s="3">
        <v>2.4060397771942969E-2</v>
      </c>
      <c r="D147" s="3">
        <v>-1.13088872</v>
      </c>
      <c r="E147" s="3">
        <v>-9.9029429100000002</v>
      </c>
      <c r="F147" s="3">
        <v>211730524.6468569</v>
      </c>
      <c r="G147" s="3">
        <v>25352097.384700999</v>
      </c>
      <c r="H147" s="3">
        <v>8799959445.9638424</v>
      </c>
      <c r="I147" s="3">
        <f>CryptoTable[[#This Row],[volume_24h]]/CryptoTable[[#This Row],[circulating_supply]]</f>
        <v>2.8809334338840507E-3</v>
      </c>
      <c r="J147" s="3">
        <f>RANK(CryptoTable[[#This Row],[market_cap]],CryptoTable[market_cap],0)</f>
        <v>146</v>
      </c>
      <c r="K147" s="3" t="str">
        <f t="shared" si="31"/>
        <v>0-0.5</v>
      </c>
      <c r="L147" s="3">
        <f t="shared" si="32"/>
        <v>2.4335606399660325E-2</v>
      </c>
      <c r="M147" s="3">
        <f>C147-CryptoTable[[#This Row],[Previous_Price]]</f>
        <v>-2.7520862771735627E-4</v>
      </c>
      <c r="N147" s="3" t="str">
        <f t="shared" si="33"/>
        <v>&lt;10</v>
      </c>
      <c r="O147" s="3" t="str">
        <f t="shared" si="34"/>
        <v>0-50</v>
      </c>
      <c r="P147" s="3" t="str">
        <f t="shared" si="35"/>
        <v>Others</v>
      </c>
      <c r="Q147" s="3" t="str">
        <f t="shared" si="36"/>
        <v>No</v>
      </c>
      <c r="R147" s="3" t="str">
        <f t="shared" si="37"/>
        <v>&gt; 50</v>
      </c>
      <c r="S147" s="3">
        <f t="shared" si="38"/>
        <v>3003896656.4932704</v>
      </c>
    </row>
    <row r="148" spans="1:19" x14ac:dyDescent="0.35">
      <c r="A148" s="3" t="s">
        <v>291</v>
      </c>
      <c r="B148" s="3" t="s">
        <v>292</v>
      </c>
      <c r="C148" s="3">
        <v>2.6212842733273813</v>
      </c>
      <c r="D148" s="3">
        <v>0.33006585999999999</v>
      </c>
      <c r="E148" s="3">
        <v>-9.3379246699999996</v>
      </c>
      <c r="F148" s="3">
        <v>203234837.78734002</v>
      </c>
      <c r="G148" s="3">
        <v>7908612.6169536998</v>
      </c>
      <c r="H148" s="3">
        <v>77532543.820346385</v>
      </c>
      <c r="I148" s="3">
        <f>CryptoTable[[#This Row],[volume_24h]]/CryptoTable[[#This Row],[circulating_supply]]</f>
        <v>0.10200378095782653</v>
      </c>
      <c r="J148" s="3">
        <f>RANK(CryptoTable[[#This Row],[market_cap]],CryptoTable[market_cap],0)</f>
        <v>147</v>
      </c>
      <c r="K148" s="3" t="str">
        <f t="shared" si="31"/>
        <v>2-10</v>
      </c>
      <c r="L148" s="3">
        <f t="shared" si="32"/>
        <v>2.6126607720811292</v>
      </c>
      <c r="M148" s="3">
        <f>C148-CryptoTable[[#This Row],[Previous_Price]]</f>
        <v>8.6235012462521077E-3</v>
      </c>
      <c r="N148" s="3" t="str">
        <f t="shared" si="33"/>
        <v>&lt;10</v>
      </c>
      <c r="O148" s="3" t="str">
        <f t="shared" si="34"/>
        <v>0-50</v>
      </c>
      <c r="P148" s="3" t="str">
        <f t="shared" si="35"/>
        <v>Others</v>
      </c>
      <c r="Q148" s="3" t="str">
        <f t="shared" si="36"/>
        <v>No</v>
      </c>
      <c r="R148" s="3" t="str">
        <f t="shared" si="37"/>
        <v>&gt; 50</v>
      </c>
      <c r="S148" s="3">
        <f t="shared" si="38"/>
        <v>93589127.312584087</v>
      </c>
    </row>
    <row r="149" spans="1:19" x14ac:dyDescent="0.35">
      <c r="A149" s="3" t="s">
        <v>293</v>
      </c>
      <c r="B149" s="3" t="s">
        <v>294</v>
      </c>
      <c r="C149" s="3">
        <v>8.6515026925269536E-2</v>
      </c>
      <c r="D149" s="3">
        <v>-0.52183913999999998</v>
      </c>
      <c r="E149" s="3">
        <v>-1.1699141500000001</v>
      </c>
      <c r="F149" s="3">
        <v>202445163.00513071</v>
      </c>
      <c r="G149" s="3">
        <v>112578621.94563589</v>
      </c>
      <c r="H149" s="3">
        <v>2340000000</v>
      </c>
      <c r="I149" s="3">
        <f>CryptoTable[[#This Row],[volume_24h]]/CryptoTable[[#This Row],[circulating_supply]]</f>
        <v>4.8110522198989696E-2</v>
      </c>
      <c r="J149" s="3">
        <f>RANK(CryptoTable[[#This Row],[market_cap]],CryptoTable[market_cap],0)</f>
        <v>148</v>
      </c>
      <c r="K149" s="3" t="str">
        <f t="shared" si="31"/>
        <v>0-0.5</v>
      </c>
      <c r="L149" s="3">
        <f t="shared" si="32"/>
        <v>8.6968864499843285E-2</v>
      </c>
      <c r="M149" s="3">
        <f>C149-CryptoTable[[#This Row],[Previous_Price]]</f>
        <v>-4.5383757457374829E-4</v>
      </c>
      <c r="N149" s="3" t="str">
        <f t="shared" si="33"/>
        <v>&lt;10</v>
      </c>
      <c r="O149" s="3" t="str">
        <f t="shared" si="34"/>
        <v>0-50</v>
      </c>
      <c r="P149" s="3" t="str">
        <f t="shared" si="35"/>
        <v>Others</v>
      </c>
      <c r="Q149" s="3" t="str">
        <f t="shared" si="36"/>
        <v>No</v>
      </c>
      <c r="R149" s="3" t="str">
        <f t="shared" si="37"/>
        <v>&gt; 50</v>
      </c>
      <c r="S149" s="3">
        <f t="shared" si="38"/>
        <v>847481720.82776392</v>
      </c>
    </row>
    <row r="150" spans="1:19" x14ac:dyDescent="0.35">
      <c r="A150" s="3" t="s">
        <v>295</v>
      </c>
      <c r="B150" s="3" t="s">
        <v>296</v>
      </c>
      <c r="C150" s="3">
        <v>2.0040778614439017</v>
      </c>
      <c r="D150" s="3">
        <v>-1.6843187799999999</v>
      </c>
      <c r="E150" s="3">
        <v>-8.9506535700000001</v>
      </c>
      <c r="F150" s="3">
        <v>199414235.2887896</v>
      </c>
      <c r="G150" s="3">
        <v>13864526.4771725</v>
      </c>
      <c r="H150" s="3">
        <v>99504235.401869699</v>
      </c>
      <c r="I150" s="3">
        <f>CryptoTable[[#This Row],[volume_24h]]/CryptoTable[[#This Row],[circulating_supply]]</f>
        <v>0.13933604354807175</v>
      </c>
      <c r="J150" s="3">
        <f>RANK(CryptoTable[[#This Row],[market_cap]],CryptoTable[market_cap],0)</f>
        <v>149</v>
      </c>
      <c r="K150" s="3" t="str">
        <f t="shared" si="31"/>
        <v>2-10</v>
      </c>
      <c r="L150" s="3">
        <f t="shared" si="32"/>
        <v>2.0384112041693503</v>
      </c>
      <c r="M150" s="3">
        <f>C150-CryptoTable[[#This Row],[Previous_Price]]</f>
        <v>-3.4333342725448635E-2</v>
      </c>
      <c r="N150" s="3" t="str">
        <f t="shared" si="33"/>
        <v>&lt;10</v>
      </c>
      <c r="O150" s="3" t="str">
        <f t="shared" si="34"/>
        <v>0-50</v>
      </c>
      <c r="P150" s="3" t="str">
        <f t="shared" si="35"/>
        <v>Others</v>
      </c>
      <c r="Q150" s="3" t="str">
        <f t="shared" si="36"/>
        <v>Yes</v>
      </c>
      <c r="R150" s="3" t="str">
        <f t="shared" si="37"/>
        <v>&gt; 50</v>
      </c>
      <c r="S150" s="3">
        <f t="shared" si="38"/>
        <v>99639489.668780163</v>
      </c>
    </row>
    <row r="151" spans="1:19" x14ac:dyDescent="0.35">
      <c r="A151" s="3" t="s">
        <v>297</v>
      </c>
      <c r="B151" s="3" t="s">
        <v>298</v>
      </c>
      <c r="C151" s="3">
        <v>3.6015223359522691E-5</v>
      </c>
      <c r="D151" s="3">
        <v>-0.69420190000000004</v>
      </c>
      <c r="E151" s="3">
        <v>-3.6498812799999998</v>
      </c>
      <c r="F151" s="3">
        <v>196942911.89319828</v>
      </c>
      <c r="G151" s="3">
        <v>13287590.107046969</v>
      </c>
      <c r="H151" s="3">
        <v>5468324045285.2871</v>
      </c>
      <c r="I151" s="3">
        <f>CryptoTable[[#This Row],[volume_24h]]/CryptoTable[[#This Row],[circulating_supply]]</f>
        <v>2.4299200261373216E-6</v>
      </c>
      <c r="J151" s="3">
        <f>RANK(CryptoTable[[#This Row],[market_cap]],CryptoTable[market_cap],0)</f>
        <v>150</v>
      </c>
      <c r="K151" s="3" t="str">
        <f t="shared" si="31"/>
        <v>0-0.5</v>
      </c>
      <c r="L151" s="3">
        <f t="shared" si="32"/>
        <v>3.6266989489632518E-5</v>
      </c>
      <c r="M151" s="3">
        <f>C151-CryptoTable[[#This Row],[Previous_Price]]</f>
        <v>-2.5176613010982759E-7</v>
      </c>
      <c r="N151" s="3" t="str">
        <f t="shared" si="33"/>
        <v>&lt;10</v>
      </c>
      <c r="O151" s="3" t="str">
        <f t="shared" si="34"/>
        <v>0-50</v>
      </c>
      <c r="P151" s="3" t="str">
        <f t="shared" si="35"/>
        <v>Others</v>
      </c>
      <c r="Q151" s="3" t="str">
        <f t="shared" si="36"/>
        <v>No</v>
      </c>
      <c r="R151" s="3" t="str">
        <f t="shared" si="37"/>
        <v>&gt; 50</v>
      </c>
      <c r="S151" s="3">
        <f t="shared" si="38"/>
        <v>1822840329398.8289</v>
      </c>
    </row>
    <row r="152" spans="1:19" x14ac:dyDescent="0.35">
      <c r="A152" s="3" t="s">
        <v>299</v>
      </c>
      <c r="B152" s="3" t="s">
        <v>300</v>
      </c>
      <c r="C152" s="3">
        <v>9.6026482481443936E-6</v>
      </c>
      <c r="D152" s="3">
        <v>-0.66876952000000001</v>
      </c>
      <c r="E152" s="3">
        <v>-5.4271009699999997</v>
      </c>
      <c r="F152" s="3">
        <v>191876021.0215064</v>
      </c>
      <c r="G152" s="3">
        <v>6314991.2209310997</v>
      </c>
      <c r="H152" s="3">
        <v>19981573422580</v>
      </c>
      <c r="I152" s="3">
        <f>CryptoTable[[#This Row],[volume_24h]]/CryptoTable[[#This Row],[circulating_supply]]</f>
        <v>3.1604073850335028E-7</v>
      </c>
      <c r="J152" s="3">
        <f>RANK(CryptoTable[[#This Row],[market_cap]],CryptoTable[market_cap],0)</f>
        <v>151</v>
      </c>
      <c r="K152" s="3" t="str">
        <f t="shared" si="31"/>
        <v>0-0.5</v>
      </c>
      <c r="L152" s="3">
        <f t="shared" si="32"/>
        <v>9.6673002053245013E-6</v>
      </c>
      <c r="M152" s="3">
        <f>C152-CryptoTable[[#This Row],[Previous_Price]]</f>
        <v>-6.4651957180107678E-8</v>
      </c>
      <c r="N152" s="3" t="str">
        <f t="shared" si="33"/>
        <v>&lt;10</v>
      </c>
      <c r="O152" s="3" t="str">
        <f t="shared" si="34"/>
        <v>0-50</v>
      </c>
      <c r="P152" s="3" t="str">
        <f t="shared" si="35"/>
        <v>Others</v>
      </c>
      <c r="Q152" s="3" t="str">
        <f t="shared" si="36"/>
        <v>Yes</v>
      </c>
      <c r="R152" s="3" t="str">
        <f t="shared" si="37"/>
        <v>&gt; 50</v>
      </c>
      <c r="S152" s="3">
        <f t="shared" si="38"/>
        <v>6660588432866.7842</v>
      </c>
    </row>
    <row r="153" spans="1:19" x14ac:dyDescent="0.35">
      <c r="A153" s="3" t="s">
        <v>301</v>
      </c>
      <c r="B153" s="3" t="s">
        <v>302</v>
      </c>
      <c r="C153" s="3">
        <v>0.19019961326095911</v>
      </c>
      <c r="D153" s="3">
        <v>8.7746690000000002E-2</v>
      </c>
      <c r="E153" s="3">
        <v>-7.8323326499999997</v>
      </c>
      <c r="F153" s="3">
        <v>190199613.26095912</v>
      </c>
      <c r="G153" s="3">
        <v>6332385.0652432097</v>
      </c>
      <c r="H153" s="3">
        <v>1000000000</v>
      </c>
      <c r="I153" s="3">
        <f>CryptoTable[[#This Row],[volume_24h]]/CryptoTable[[#This Row],[circulating_supply]]</f>
        <v>6.3323850652432095E-3</v>
      </c>
      <c r="J153" s="3">
        <f>RANK(CryptoTable[[#This Row],[market_cap]],CryptoTable[market_cap],0)</f>
        <v>152</v>
      </c>
      <c r="K153" s="3" t="str">
        <f t="shared" si="31"/>
        <v>0-0.5</v>
      </c>
      <c r="L153" s="3">
        <f t="shared" si="32"/>
        <v>0.19003286571138522</v>
      </c>
      <c r="M153" s="3">
        <f>C153-CryptoTable[[#This Row],[Previous_Price]]</f>
        <v>1.6674754957388127E-4</v>
      </c>
      <c r="N153" s="3" t="str">
        <f t="shared" si="33"/>
        <v>&lt;10</v>
      </c>
      <c r="O153" s="3" t="str">
        <f t="shared" si="34"/>
        <v>0-50</v>
      </c>
      <c r="P153" s="3" t="str">
        <f t="shared" si="35"/>
        <v>Others</v>
      </c>
      <c r="Q153" s="3" t="str">
        <f t="shared" si="36"/>
        <v>Yes</v>
      </c>
      <c r="R153" s="3" t="str">
        <f t="shared" si="37"/>
        <v>&gt; 50</v>
      </c>
      <c r="S153" s="3">
        <f t="shared" si="38"/>
        <v>396733204.44956857</v>
      </c>
    </row>
    <row r="154" spans="1:19" x14ac:dyDescent="0.35">
      <c r="A154" s="3" t="s">
        <v>303</v>
      </c>
      <c r="B154" s="3" t="s">
        <v>304</v>
      </c>
      <c r="C154" s="3">
        <v>2.8863769713561158</v>
      </c>
      <c r="D154" s="3">
        <v>-1.2159502799999999</v>
      </c>
      <c r="E154" s="3">
        <v>-9.6827901399999998</v>
      </c>
      <c r="F154" s="3">
        <v>189497765.97514036</v>
      </c>
      <c r="G154" s="3">
        <v>35705294.564597279</v>
      </c>
      <c r="H154" s="3">
        <v>65652466</v>
      </c>
      <c r="I154" s="3">
        <f>CryptoTable[[#This Row],[volume_24h]]/CryptoTable[[#This Row],[circulating_supply]]</f>
        <v>0.543853060517137</v>
      </c>
      <c r="J154" s="3">
        <f>RANK(CryptoTable[[#This Row],[market_cap]],CryptoTable[market_cap],0)</f>
        <v>153</v>
      </c>
      <c r="K154" s="3" t="str">
        <f t="shared" si="31"/>
        <v>2-10</v>
      </c>
      <c r="L154" s="3">
        <f t="shared" si="32"/>
        <v>2.9219058942586909</v>
      </c>
      <c r="M154" s="3">
        <f>C154-CryptoTable[[#This Row],[Previous_Price]]</f>
        <v>-3.5528922902575033E-2</v>
      </c>
      <c r="N154" s="3" t="str">
        <f t="shared" si="33"/>
        <v>&lt;10</v>
      </c>
      <c r="O154" s="3" t="str">
        <f t="shared" si="34"/>
        <v>0-50</v>
      </c>
      <c r="P154" s="3" t="str">
        <f t="shared" si="35"/>
        <v>Others</v>
      </c>
      <c r="Q154" s="3" t="str">
        <f t="shared" si="36"/>
        <v>Yes</v>
      </c>
      <c r="R154" s="3" t="str">
        <f t="shared" si="37"/>
        <v>&gt; 50</v>
      </c>
      <c r="S154" s="3">
        <f t="shared" si="38"/>
        <v>85050076.919730023</v>
      </c>
    </row>
    <row r="155" spans="1:19" x14ac:dyDescent="0.35">
      <c r="A155" s="3" t="s">
        <v>305</v>
      </c>
      <c r="B155" s="3" t="s">
        <v>306</v>
      </c>
      <c r="C155" s="3">
        <v>1.0077048047513748</v>
      </c>
      <c r="D155" s="3">
        <v>-0.22330425000000001</v>
      </c>
      <c r="E155" s="3">
        <v>-11.01070395</v>
      </c>
      <c r="F155" s="3">
        <v>187757008.59901443</v>
      </c>
      <c r="G155" s="3">
        <v>8689169.0596909299</v>
      </c>
      <c r="H155" s="3">
        <v>186321438.2959488</v>
      </c>
      <c r="I155" s="3">
        <f>CryptoTable[[#This Row],[volume_24h]]/CryptoTable[[#This Row],[circulating_supply]]</f>
        <v>4.6635369172543892E-2</v>
      </c>
      <c r="J155" s="3">
        <f>RANK(CryptoTable[[#This Row],[market_cap]],CryptoTable[market_cap],0)</f>
        <v>154</v>
      </c>
      <c r="K155" s="3" t="str">
        <f t="shared" si="31"/>
        <v>1-2</v>
      </c>
      <c r="L155" s="3">
        <f t="shared" si="32"/>
        <v>1.009960088552416</v>
      </c>
      <c r="M155" s="3">
        <f>C155-CryptoTable[[#This Row],[Previous_Price]]</f>
        <v>-2.2552838010412302E-3</v>
      </c>
      <c r="N155" s="3" t="str">
        <f t="shared" si="33"/>
        <v>&lt;10</v>
      </c>
      <c r="O155" s="3" t="str">
        <f t="shared" si="34"/>
        <v>0-50</v>
      </c>
      <c r="P155" s="3" t="str">
        <f t="shared" si="35"/>
        <v>Others</v>
      </c>
      <c r="Q155" s="3" t="str">
        <f t="shared" si="36"/>
        <v>No</v>
      </c>
      <c r="R155" s="3" t="str">
        <f t="shared" si="37"/>
        <v>&gt; 50</v>
      </c>
      <c r="S155" s="3">
        <f t="shared" si="38"/>
        <v>124692815.55721967</v>
      </c>
    </row>
    <row r="156" spans="1:19" x14ac:dyDescent="0.35">
      <c r="A156" s="3" t="s">
        <v>307</v>
      </c>
      <c r="B156" s="3" t="s">
        <v>307</v>
      </c>
      <c r="C156" s="3">
        <v>0.83090162498184206</v>
      </c>
      <c r="D156" s="3">
        <v>0.51442147999999999</v>
      </c>
      <c r="E156" s="3">
        <v>6.7532004900000002</v>
      </c>
      <c r="F156" s="3">
        <v>177184784.45582467</v>
      </c>
      <c r="G156" s="3">
        <v>89206628.282835215</v>
      </c>
      <c r="H156" s="3">
        <v>213243998</v>
      </c>
      <c r="I156" s="3">
        <f>CryptoTable[[#This Row],[volume_24h]]/CryptoTable[[#This Row],[circulating_supply]]</f>
        <v>0.4183312502086704</v>
      </c>
      <c r="J156" s="3">
        <f>RANK(CryptoTable[[#This Row],[market_cap]],CryptoTable[market_cap],0)</f>
        <v>156</v>
      </c>
      <c r="K156" s="3" t="str">
        <f t="shared" si="31"/>
        <v>0.5-1</v>
      </c>
      <c r="L156" s="3">
        <f t="shared" si="32"/>
        <v>0.82664916411738176</v>
      </c>
      <c r="M156" s="3">
        <f>C156-CryptoTable[[#This Row],[Previous_Price]]</f>
        <v>4.2524608644602946E-3</v>
      </c>
      <c r="N156" s="3" t="str">
        <f t="shared" si="33"/>
        <v>&lt;10</v>
      </c>
      <c r="O156" s="3" t="str">
        <f t="shared" si="34"/>
        <v>0-50</v>
      </c>
      <c r="P156" s="3" t="str">
        <f t="shared" si="35"/>
        <v>Others</v>
      </c>
      <c r="Q156" s="3" t="str">
        <f t="shared" si="36"/>
        <v>No</v>
      </c>
      <c r="R156" s="3" t="str">
        <f t="shared" si="37"/>
        <v>&gt; 50</v>
      </c>
      <c r="S156" s="3">
        <f t="shared" si="38"/>
        <v>130142927.65674873</v>
      </c>
    </row>
    <row r="157" spans="1:19" x14ac:dyDescent="0.35">
      <c r="A157" s="3" t="s">
        <v>308</v>
      </c>
      <c r="B157" s="3" t="s">
        <v>309</v>
      </c>
      <c r="C157" s="3">
        <v>0.51020557244019449</v>
      </c>
      <c r="D157" s="3">
        <v>-0.90218339000000003</v>
      </c>
      <c r="E157" s="3">
        <v>-6.9835034900000004</v>
      </c>
      <c r="F157" s="3">
        <v>179070096.19739249</v>
      </c>
      <c r="G157" s="3">
        <v>79622921.665407702</v>
      </c>
      <c r="H157" s="3">
        <v>350976363</v>
      </c>
      <c r="I157" s="3">
        <f>CryptoTable[[#This Row],[volume_24h]]/CryptoTable[[#This Row],[circulating_supply]]</f>
        <v>0.22686120793099593</v>
      </c>
      <c r="J157" s="3">
        <f>RANK(CryptoTable[[#This Row],[market_cap]],CryptoTable[market_cap],0)</f>
        <v>155</v>
      </c>
      <c r="K157" s="3" t="str">
        <f t="shared" si="31"/>
        <v>0.5-1</v>
      </c>
      <c r="L157" s="3">
        <f t="shared" si="32"/>
        <v>0.51485046784442412</v>
      </c>
      <c r="M157" s="3">
        <f>C157-CryptoTable[[#This Row],[Previous_Price]]</f>
        <v>-4.644895404229632E-3</v>
      </c>
      <c r="N157" s="3" t="str">
        <f t="shared" si="33"/>
        <v>&lt;10</v>
      </c>
      <c r="O157" s="3" t="str">
        <f t="shared" si="34"/>
        <v>0-50</v>
      </c>
      <c r="P157" s="3" t="str">
        <f t="shared" si="35"/>
        <v>Others</v>
      </c>
      <c r="Q157" s="3" t="str">
        <f t="shared" si="36"/>
        <v>No</v>
      </c>
      <c r="R157" s="3" t="str">
        <f t="shared" si="37"/>
        <v>&gt; 50</v>
      </c>
      <c r="S157" s="3">
        <f t="shared" si="38"/>
        <v>176682152.76506969</v>
      </c>
    </row>
    <row r="158" spans="1:19" x14ac:dyDescent="0.35">
      <c r="A158" s="3" t="s">
        <v>310</v>
      </c>
      <c r="B158" s="3" t="s">
        <v>311</v>
      </c>
      <c r="C158" s="3">
        <v>5.068256134811993E-2</v>
      </c>
      <c r="D158" s="3">
        <v>-1.29953846</v>
      </c>
      <c r="E158" s="3">
        <v>-8.8232009900000001</v>
      </c>
      <c r="F158" s="3">
        <v>176802445.69806635</v>
      </c>
      <c r="G158" s="3">
        <v>61428550.914834291</v>
      </c>
      <c r="H158" s="3">
        <v>3488427597.091536</v>
      </c>
      <c r="I158" s="3">
        <f>CryptoTable[[#This Row],[volume_24h]]/CryptoTable[[#This Row],[circulating_supply]]</f>
        <v>1.7609237745410032E-2</v>
      </c>
      <c r="J158" s="3">
        <f>RANK(CryptoTable[[#This Row],[market_cap]],CryptoTable[market_cap],0)</f>
        <v>157</v>
      </c>
      <c r="K158" s="3" t="str">
        <f t="shared" si="31"/>
        <v>0-0.5</v>
      </c>
      <c r="L158" s="3">
        <f t="shared" si="32"/>
        <v>5.1349872692925534E-2</v>
      </c>
      <c r="M158" s="3">
        <f>C158-CryptoTable[[#This Row],[Previous_Price]]</f>
        <v>-6.673113448056045E-4</v>
      </c>
      <c r="N158" s="3" t="str">
        <f t="shared" si="33"/>
        <v>&lt;10</v>
      </c>
      <c r="O158" s="3" t="str">
        <f t="shared" si="34"/>
        <v>0-50</v>
      </c>
      <c r="P158" s="3" t="str">
        <f t="shared" si="35"/>
        <v>Others</v>
      </c>
      <c r="Q158" s="3" t="str">
        <f t="shared" si="36"/>
        <v>No</v>
      </c>
      <c r="R158" s="3" t="str">
        <f t="shared" si="37"/>
        <v>&gt; 50</v>
      </c>
      <c r="S158" s="3">
        <f t="shared" si="38"/>
        <v>1221743347.1633546</v>
      </c>
    </row>
    <row r="159" spans="1:19" x14ac:dyDescent="0.35">
      <c r="A159" s="3" t="s">
        <v>312</v>
      </c>
      <c r="B159" s="3" t="s">
        <v>313</v>
      </c>
      <c r="C159" s="3">
        <v>1.920511303066101</v>
      </c>
      <c r="D159" s="3">
        <v>-1.079807E-2</v>
      </c>
      <c r="E159" s="3">
        <v>-1.1267392599999999</v>
      </c>
      <c r="F159" s="3">
        <v>176374637.99045673</v>
      </c>
      <c r="G159" s="3">
        <v>12114162.65145367</v>
      </c>
      <c r="H159" s="3">
        <v>91837334</v>
      </c>
      <c r="I159" s="3">
        <f>CryptoTable[[#This Row],[volume_24h]]/CryptoTable[[#This Row],[circulating_supply]]</f>
        <v>0.13190891028537119</v>
      </c>
      <c r="J159" s="3">
        <f>RANK(CryptoTable[[#This Row],[market_cap]],CryptoTable[market_cap],0)</f>
        <v>158</v>
      </c>
      <c r="K159" s="3" t="str">
        <f t="shared" si="31"/>
        <v>1-2</v>
      </c>
      <c r="L159" s="3">
        <f t="shared" si="32"/>
        <v>1.9207187036162205</v>
      </c>
      <c r="M159" s="3">
        <f>C159-CryptoTable[[#This Row],[Previous_Price]]</f>
        <v>-2.0740055011958525E-4</v>
      </c>
      <c r="N159" s="3" t="str">
        <f t="shared" si="33"/>
        <v>&lt;10</v>
      </c>
      <c r="O159" s="3" t="str">
        <f t="shared" si="34"/>
        <v>0-50</v>
      </c>
      <c r="P159" s="3" t="str">
        <f t="shared" si="35"/>
        <v>Others</v>
      </c>
      <c r="Q159" s="3" t="str">
        <f t="shared" si="36"/>
        <v>No</v>
      </c>
      <c r="R159" s="3" t="str">
        <f t="shared" si="37"/>
        <v>&gt; 50</v>
      </c>
      <c r="S159" s="3">
        <f t="shared" si="38"/>
        <v>89403990.659886226</v>
      </c>
    </row>
    <row r="160" spans="1:19" x14ac:dyDescent="0.35">
      <c r="A160" s="3" t="s">
        <v>314</v>
      </c>
      <c r="B160" s="3" t="s">
        <v>315</v>
      </c>
      <c r="C160" s="3">
        <v>0.34455550520297706</v>
      </c>
      <c r="D160" s="3">
        <v>-0.69250807000000003</v>
      </c>
      <c r="E160" s="3">
        <v>-6.03617968</v>
      </c>
      <c r="F160" s="3">
        <v>172277166.7199966</v>
      </c>
      <c r="G160" s="3">
        <v>16532380.672628211</v>
      </c>
      <c r="H160" s="3">
        <v>499998299.602</v>
      </c>
      <c r="I160" s="3">
        <f>CryptoTable[[#This Row],[volume_24h]]/CryptoTable[[#This Row],[circulating_supply]]</f>
        <v>3.3064873792146954E-2</v>
      </c>
      <c r="J160" s="3">
        <f>RANK(CryptoTable[[#This Row],[market_cap]],CryptoTable[market_cap],0)</f>
        <v>159</v>
      </c>
      <c r="K160" s="3" t="str">
        <f t="shared" si="31"/>
        <v>0-0.5</v>
      </c>
      <c r="L160" s="3">
        <f t="shared" si="32"/>
        <v>0.34695821886816736</v>
      </c>
      <c r="M160" s="3">
        <f>C160-CryptoTable[[#This Row],[Previous_Price]]</f>
        <v>-2.4027136651902925E-3</v>
      </c>
      <c r="N160" s="3" t="str">
        <f t="shared" si="33"/>
        <v>&lt;10</v>
      </c>
      <c r="O160" s="3" t="str">
        <f t="shared" si="34"/>
        <v>0-50</v>
      </c>
      <c r="P160" s="3" t="str">
        <f t="shared" si="35"/>
        <v>Others</v>
      </c>
      <c r="Q160" s="3" t="str">
        <f t="shared" si="36"/>
        <v>Yes</v>
      </c>
      <c r="R160" s="3" t="str">
        <f t="shared" si="37"/>
        <v>&gt; 50</v>
      </c>
      <c r="S160" s="3">
        <f t="shared" si="38"/>
        <v>224091821.87649617</v>
      </c>
    </row>
    <row r="161" spans="1:19" x14ac:dyDescent="0.35">
      <c r="A161" s="3" t="s">
        <v>316</v>
      </c>
      <c r="B161" s="3" t="s">
        <v>317</v>
      </c>
      <c r="C161" s="3">
        <v>5.9416456390798823E-2</v>
      </c>
      <c r="D161" s="3">
        <v>-9.2305620000000005E-2</v>
      </c>
      <c r="E161" s="3">
        <v>-10.1945902</v>
      </c>
      <c r="F161" s="3">
        <v>171119394.40550062</v>
      </c>
      <c r="G161" s="3">
        <v>33920845.602141447</v>
      </c>
      <c r="H161" s="3">
        <v>2880000000</v>
      </c>
      <c r="I161" s="3">
        <f>CryptoTable[[#This Row],[volume_24h]]/CryptoTable[[#This Row],[circulating_supply]]</f>
        <v>1.1778071389632447E-2</v>
      </c>
      <c r="J161" s="3">
        <f>RANK(CryptoTable[[#This Row],[market_cap]],CryptoTable[market_cap],0)</f>
        <v>160</v>
      </c>
      <c r="K161" s="3" t="str">
        <f t="shared" si="31"/>
        <v>0-0.5</v>
      </c>
      <c r="L161" s="3">
        <f t="shared" si="32"/>
        <v>5.9471351790791695E-2</v>
      </c>
      <c r="M161" s="3">
        <f>C161-CryptoTable[[#This Row],[Previous_Price]]</f>
        <v>-5.4895399992871408E-5</v>
      </c>
      <c r="N161" s="3" t="str">
        <f t="shared" si="33"/>
        <v>&lt;10</v>
      </c>
      <c r="O161" s="3" t="str">
        <f t="shared" si="34"/>
        <v>0-50</v>
      </c>
      <c r="P161" s="3" t="str">
        <f t="shared" si="35"/>
        <v>Others</v>
      </c>
      <c r="Q161" s="3" t="str">
        <f t="shared" si="36"/>
        <v>No</v>
      </c>
      <c r="R161" s="3" t="str">
        <f t="shared" si="37"/>
        <v>&gt; 50</v>
      </c>
      <c r="S161" s="3">
        <f t="shared" si="38"/>
        <v>1017039798.1043984</v>
      </c>
    </row>
    <row r="162" spans="1:19" x14ac:dyDescent="0.35">
      <c r="A162" s="3" t="s">
        <v>318</v>
      </c>
      <c r="B162" s="3" t="s">
        <v>319</v>
      </c>
      <c r="C162" s="3">
        <v>0.28898102881957133</v>
      </c>
      <c r="D162" s="3">
        <v>-0.74286938999999996</v>
      </c>
      <c r="E162" s="3">
        <v>-9.9761513900000001</v>
      </c>
      <c r="F162" s="3">
        <v>170358031.57015711</v>
      </c>
      <c r="G162" s="3">
        <v>41213023.355814368</v>
      </c>
      <c r="H162" s="3">
        <v>589512855.79553437</v>
      </c>
      <c r="I162" s="3">
        <f>CryptoTable[[#This Row],[volume_24h]]/CryptoTable[[#This Row],[circulating_supply]]</f>
        <v>6.9910304670452547E-2</v>
      </c>
      <c r="J162" s="3">
        <f>RANK(CryptoTable[[#This Row],[market_cap]],CryptoTable[market_cap],0)</f>
        <v>161</v>
      </c>
      <c r="K162" s="3" t="str">
        <f t="shared" ref="K162:K193" si="39">IF(C162&lt;=0.5,"0-0.5",
IF(C162&lt;=1,"0.5-1",
IF(C162&lt;=2,"1-2",
IF(C162&lt;=10,"2-10",
IF(C162&lt;=100,"10-100",
IF(C162&lt;=10000,"100-10000","10000+"))))))</f>
        <v>0-0.5</v>
      </c>
      <c r="L162" s="3">
        <f t="shared" ref="L162:L193" si="40">C162/(1+D162/100)</f>
        <v>0.29114384734234594</v>
      </c>
      <c r="M162" s="3">
        <f>C162-CryptoTable[[#This Row],[Previous_Price]]</f>
        <v>-2.1628185227746122E-3</v>
      </c>
      <c r="N162" s="3" t="str">
        <f t="shared" ref="N162:N193" si="41">IF(C162&gt;=10,"&gt;=10","&lt;10")</f>
        <v>&lt;10</v>
      </c>
      <c r="O162" s="3" t="str">
        <f t="shared" ref="O162:O193" si="42">IF(C162&lt;=50,"0-50","&gt;50")</f>
        <v>0-50</v>
      </c>
      <c r="P162" s="3" t="str">
        <f t="shared" si="35"/>
        <v>Others</v>
      </c>
      <c r="Q162" s="3" t="str">
        <f t="shared" ref="Q162:Q193" si="43">IF(OR(
LEFT(A162,1)="A",
LEFT(A162,1)="E",
LEFT(A162,1)="I",
LEFT(A162,1)="O",
LEFT(A162,1)="U",
LEFT(A162,1)="B",
LEFT(A162,1)="C",
LEFT(A162,1)="D"
),
"Yes","No")</f>
        <v>Yes</v>
      </c>
      <c r="R162" s="3" t="str">
        <f t="shared" ref="R162:R193" si="44">IF(B162&lt;=0.05,"0 - 0.05",
IF(B162&lt;=0.5,"0.05 - 0.5",
IF(B162&lt;=5,"0.5 - 5",
IF(B162&lt;=50,"5 - 50",
"&gt; 50"))))</f>
        <v>&gt; 50</v>
      </c>
      <c r="S162" s="3">
        <f t="shared" ref="S162:S193" si="45">AVERAGE(D162,F162,H162)</f>
        <v>253290295.54094067</v>
      </c>
    </row>
    <row r="163" spans="1:19" x14ac:dyDescent="0.35">
      <c r="A163" s="3" t="s">
        <v>320</v>
      </c>
      <c r="B163" s="3" t="s">
        <v>321</v>
      </c>
      <c r="C163" s="3">
        <v>0.7559534739553273</v>
      </c>
      <c r="D163" s="3">
        <v>-0.83740513000000005</v>
      </c>
      <c r="E163" s="3">
        <v>-1.12024331</v>
      </c>
      <c r="F163" s="3">
        <v>170089531.63994864</v>
      </c>
      <c r="G163" s="3">
        <v>16930109.438480619</v>
      </c>
      <c r="H163" s="3">
        <v>225000000</v>
      </c>
      <c r="I163" s="3">
        <f>CryptoTable[[#This Row],[volume_24h]]/CryptoTable[[#This Row],[circulating_supply]]</f>
        <v>7.524493083769164E-2</v>
      </c>
      <c r="J163" s="3">
        <f>RANK(CryptoTable[[#This Row],[market_cap]],CryptoTable[market_cap],0)</f>
        <v>162</v>
      </c>
      <c r="K163" s="3" t="str">
        <f t="shared" si="39"/>
        <v>0.5-1</v>
      </c>
      <c r="L163" s="3">
        <f t="shared" si="40"/>
        <v>0.76233732582973035</v>
      </c>
      <c r="M163" s="3">
        <f>C163-CryptoTable[[#This Row],[Previous_Price]]</f>
        <v>-6.3838518744030459E-3</v>
      </c>
      <c r="N163" s="3" t="str">
        <f t="shared" si="41"/>
        <v>&lt;10</v>
      </c>
      <c r="O163" s="3" t="str">
        <f t="shared" si="42"/>
        <v>0-50</v>
      </c>
      <c r="P163" s="3" t="str">
        <f t="shared" si="35"/>
        <v>Others</v>
      </c>
      <c r="Q163" s="3" t="str">
        <f t="shared" si="43"/>
        <v>No</v>
      </c>
      <c r="R163" s="3" t="str">
        <f t="shared" si="44"/>
        <v>&gt; 50</v>
      </c>
      <c r="S163" s="3">
        <f t="shared" si="45"/>
        <v>131696510.26751451</v>
      </c>
    </row>
    <row r="164" spans="1:19" x14ac:dyDescent="0.35">
      <c r="A164" s="3" t="s">
        <v>322</v>
      </c>
      <c r="B164" s="3" t="s">
        <v>323</v>
      </c>
      <c r="C164" s="3">
        <v>0.33480265850793256</v>
      </c>
      <c r="D164" s="3">
        <v>-8.5144590000000006E-2</v>
      </c>
      <c r="E164" s="3">
        <v>-6.1566565999999998</v>
      </c>
      <c r="F164" s="3">
        <v>167401329.25396627</v>
      </c>
      <c r="G164" s="3">
        <v>3373064.7686017998</v>
      </c>
      <c r="H164" s="3">
        <v>500000000</v>
      </c>
      <c r="I164" s="3">
        <f>CryptoTable[[#This Row],[volume_24h]]/CryptoTable[[#This Row],[circulating_supply]]</f>
        <v>6.7461295372035993E-3</v>
      </c>
      <c r="J164" s="3">
        <f>RANK(CryptoTable[[#This Row],[market_cap]],CryptoTable[market_cap],0)</f>
        <v>163</v>
      </c>
      <c r="K164" s="3" t="str">
        <f t="shared" si="39"/>
        <v>0-0.5</v>
      </c>
      <c r="L164" s="3">
        <f t="shared" si="40"/>
        <v>0.33508796778424177</v>
      </c>
      <c r="M164" s="3">
        <f>C164-CryptoTable[[#This Row],[Previous_Price]]</f>
        <v>-2.853092763092091E-4</v>
      </c>
      <c r="N164" s="3" t="str">
        <f t="shared" si="41"/>
        <v>&lt;10</v>
      </c>
      <c r="O164" s="3" t="str">
        <f t="shared" si="42"/>
        <v>0-50</v>
      </c>
      <c r="P164" s="3" t="str">
        <f t="shared" si="35"/>
        <v>Others</v>
      </c>
      <c r="Q164" s="3" t="str">
        <f t="shared" si="43"/>
        <v>No</v>
      </c>
      <c r="R164" s="3" t="str">
        <f t="shared" si="44"/>
        <v>&gt; 50</v>
      </c>
      <c r="S164" s="3">
        <f t="shared" si="45"/>
        <v>222467109.72294056</v>
      </c>
    </row>
    <row r="165" spans="1:19" x14ac:dyDescent="0.35">
      <c r="A165" s="3" t="s">
        <v>324</v>
      </c>
      <c r="B165" s="3" t="s">
        <v>325</v>
      </c>
      <c r="C165" s="3">
        <v>2.1947920146901986E-2</v>
      </c>
      <c r="D165" s="3">
        <v>0.11142051</v>
      </c>
      <c r="E165" s="3">
        <v>12.816851639999999</v>
      </c>
      <c r="F165" s="3">
        <v>164832084.1947732</v>
      </c>
      <c r="G165" s="3">
        <v>69776186.108803764</v>
      </c>
      <c r="H165" s="3">
        <v>7510145977</v>
      </c>
      <c r="I165" s="3">
        <f>CryptoTable[[#This Row],[volume_24h]]/CryptoTable[[#This Row],[circulating_supply]]</f>
        <v>9.2909227493706489E-3</v>
      </c>
      <c r="J165" s="3">
        <f>RANK(CryptoTable[[#This Row],[market_cap]],CryptoTable[market_cap],0)</f>
        <v>164</v>
      </c>
      <c r="K165" s="3" t="str">
        <f t="shared" si="39"/>
        <v>0-0.5</v>
      </c>
      <c r="L165" s="3">
        <f t="shared" si="40"/>
        <v>2.1923492879326028E-2</v>
      </c>
      <c r="M165" s="3">
        <f>C165-CryptoTable[[#This Row],[Previous_Price]]</f>
        <v>2.4427267575958395E-5</v>
      </c>
      <c r="N165" s="3" t="str">
        <f t="shared" si="41"/>
        <v>&lt;10</v>
      </c>
      <c r="O165" s="3" t="str">
        <f t="shared" si="42"/>
        <v>0-50</v>
      </c>
      <c r="P165" s="3" t="str">
        <f t="shared" si="35"/>
        <v>Others</v>
      </c>
      <c r="Q165" s="3" t="str">
        <f t="shared" si="43"/>
        <v>Yes</v>
      </c>
      <c r="R165" s="3" t="str">
        <f t="shared" si="44"/>
        <v>&gt; 50</v>
      </c>
      <c r="S165" s="3">
        <f t="shared" si="45"/>
        <v>2558326020.4353976</v>
      </c>
    </row>
    <row r="166" spans="1:19" x14ac:dyDescent="0.35">
      <c r="A166" s="3" t="s">
        <v>326</v>
      </c>
      <c r="B166" s="3" t="s">
        <v>327</v>
      </c>
      <c r="C166" s="3">
        <v>0.10342951258585088</v>
      </c>
      <c r="D166" s="3">
        <v>-1.1845450200000001</v>
      </c>
      <c r="E166" s="3">
        <v>-11.37656484</v>
      </c>
      <c r="F166" s="3">
        <v>163116960.43945915</v>
      </c>
      <c r="G166" s="3">
        <v>18299502.414095841</v>
      </c>
      <c r="H166" s="3">
        <v>1577083333</v>
      </c>
      <c r="I166" s="3">
        <f>CryptoTable[[#This Row],[volume_24h]]/CryptoTable[[#This Row],[circulating_supply]]</f>
        <v>1.1603383303332292E-2</v>
      </c>
      <c r="J166" s="3">
        <f>RANK(CryptoTable[[#This Row],[market_cap]],CryptoTable[market_cap],0)</f>
        <v>165</v>
      </c>
      <c r="K166" s="3" t="str">
        <f t="shared" si="39"/>
        <v>0-0.5</v>
      </c>
      <c r="L166" s="3">
        <f t="shared" si="40"/>
        <v>0.10466936837641921</v>
      </c>
      <c r="M166" s="3">
        <f>C166-CryptoTable[[#This Row],[Previous_Price]]</f>
        <v>-1.2398557905683311E-3</v>
      </c>
      <c r="N166" s="3" t="str">
        <f t="shared" si="41"/>
        <v>&lt;10</v>
      </c>
      <c r="O166" s="3" t="str">
        <f t="shared" si="42"/>
        <v>0-50</v>
      </c>
      <c r="P166" s="3" t="str">
        <f t="shared" si="35"/>
        <v>Others</v>
      </c>
      <c r="Q166" s="3" t="str">
        <f t="shared" si="43"/>
        <v>No</v>
      </c>
      <c r="R166" s="3" t="str">
        <f t="shared" si="44"/>
        <v>&gt; 50</v>
      </c>
      <c r="S166" s="3">
        <f t="shared" si="45"/>
        <v>580066764.08497131</v>
      </c>
    </row>
    <row r="167" spans="1:19" x14ac:dyDescent="0.35">
      <c r="A167" s="3" t="s">
        <v>328</v>
      </c>
      <c r="B167" s="3" t="s">
        <v>328</v>
      </c>
      <c r="C167" s="3">
        <v>0.16133978175261712</v>
      </c>
      <c r="D167" s="3">
        <v>-0.15692813</v>
      </c>
      <c r="E167" s="3">
        <v>12.04718461</v>
      </c>
      <c r="F167" s="3">
        <v>161339781.75261712</v>
      </c>
      <c r="G167" s="3">
        <v>48473215.92931591</v>
      </c>
      <c r="H167" s="3">
        <v>1000000000</v>
      </c>
      <c r="I167" s="3">
        <f>CryptoTable[[#This Row],[volume_24h]]/CryptoTable[[#This Row],[circulating_supply]]</f>
        <v>4.8473215929315909E-2</v>
      </c>
      <c r="J167" s="3">
        <f>RANK(CryptoTable[[#This Row],[market_cap]],CryptoTable[market_cap],0)</f>
        <v>166</v>
      </c>
      <c r="K167" s="3" t="str">
        <f t="shared" si="39"/>
        <v>0-0.5</v>
      </c>
      <c r="L167" s="3">
        <f t="shared" si="40"/>
        <v>0.16159336720197121</v>
      </c>
      <c r="M167" s="3">
        <f>C167-CryptoTable[[#This Row],[Previous_Price]]</f>
        <v>-2.5358544935408234E-4</v>
      </c>
      <c r="N167" s="3" t="str">
        <f t="shared" si="41"/>
        <v>&lt;10</v>
      </c>
      <c r="O167" s="3" t="str">
        <f t="shared" si="42"/>
        <v>0-50</v>
      </c>
      <c r="P167" s="3" t="str">
        <f t="shared" si="35"/>
        <v>Others</v>
      </c>
      <c r="Q167" s="3" t="str">
        <f t="shared" si="43"/>
        <v>No</v>
      </c>
      <c r="R167" s="3" t="str">
        <f t="shared" si="44"/>
        <v>&gt; 50</v>
      </c>
      <c r="S167" s="3">
        <f t="shared" si="45"/>
        <v>387113260.53189635</v>
      </c>
    </row>
    <row r="168" spans="1:19" x14ac:dyDescent="0.35">
      <c r="A168" s="3" t="s">
        <v>329</v>
      </c>
      <c r="B168" s="3" t="s">
        <v>330</v>
      </c>
      <c r="C168" s="3">
        <v>8.6028028462647795E-7</v>
      </c>
      <c r="D168" s="3">
        <v>-0.56322059000000002</v>
      </c>
      <c r="E168" s="3">
        <v>-7.4389400700000001</v>
      </c>
      <c r="F168" s="3">
        <v>161298281.88263077</v>
      </c>
      <c r="G168" s="3">
        <v>3411678.9293268002</v>
      </c>
      <c r="H168" s="3">
        <v>187495034775398</v>
      </c>
      <c r="I168" s="3">
        <f>CryptoTable[[#This Row],[volume_24h]]/CryptoTable[[#This Row],[circulating_supply]]</f>
        <v>1.8196102811008734E-8</v>
      </c>
      <c r="J168" s="3">
        <f>RANK(CryptoTable[[#This Row],[market_cap]],CryptoTable[market_cap],0)</f>
        <v>167</v>
      </c>
      <c r="K168" s="3" t="str">
        <f t="shared" si="39"/>
        <v>0-0.5</v>
      </c>
      <c r="L168" s="3">
        <f t="shared" si="40"/>
        <v>8.6515300448272829E-7</v>
      </c>
      <c r="M168" s="3">
        <f>C168-CryptoTable[[#This Row],[Previous_Price]]</f>
        <v>-4.8727198562503397E-9</v>
      </c>
      <c r="N168" s="3" t="str">
        <f t="shared" si="41"/>
        <v>&lt;10</v>
      </c>
      <c r="O168" s="3" t="str">
        <f t="shared" si="42"/>
        <v>0-50</v>
      </c>
      <c r="P168" s="3" t="str">
        <f t="shared" si="35"/>
        <v>Others</v>
      </c>
      <c r="Q168" s="3" t="str">
        <f t="shared" si="43"/>
        <v>Yes</v>
      </c>
      <c r="R168" s="3" t="str">
        <f t="shared" si="44"/>
        <v>&gt; 50</v>
      </c>
      <c r="S168" s="3">
        <f t="shared" si="45"/>
        <v>62498398691226.437</v>
      </c>
    </row>
    <row r="169" spans="1:19" x14ac:dyDescent="0.35">
      <c r="A169" s="3" t="s">
        <v>331</v>
      </c>
      <c r="B169" s="3" t="s">
        <v>332</v>
      </c>
      <c r="C169" s="3">
        <v>9.941484142064462E-2</v>
      </c>
      <c r="D169" s="3">
        <v>-0.78759895999999996</v>
      </c>
      <c r="E169" s="3">
        <v>-7.4470663500000001</v>
      </c>
      <c r="F169" s="3">
        <v>161002624.60317826</v>
      </c>
      <c r="G169" s="3">
        <v>44465190.635081187</v>
      </c>
      <c r="H169" s="3">
        <v>1619502906.2305</v>
      </c>
      <c r="I169" s="3">
        <f>CryptoTable[[#This Row],[volume_24h]]/CryptoTable[[#This Row],[circulating_supply]]</f>
        <v>2.7456073381539558E-2</v>
      </c>
      <c r="J169" s="3">
        <f>RANK(CryptoTable[[#This Row],[market_cap]],CryptoTable[market_cap],0)</f>
        <v>168</v>
      </c>
      <c r="K169" s="3" t="str">
        <f t="shared" si="39"/>
        <v>0-0.5</v>
      </c>
      <c r="L169" s="3">
        <f t="shared" si="40"/>
        <v>0.10020404745628826</v>
      </c>
      <c r="M169" s="3">
        <f>C169-CryptoTable[[#This Row],[Previous_Price]]</f>
        <v>-7.8920603564364145E-4</v>
      </c>
      <c r="N169" s="3" t="str">
        <f t="shared" si="41"/>
        <v>&lt;10</v>
      </c>
      <c r="O169" s="3" t="str">
        <f t="shared" si="42"/>
        <v>0-50</v>
      </c>
      <c r="P169" s="3" t="str">
        <f t="shared" si="35"/>
        <v>Others</v>
      </c>
      <c r="Q169" s="3" t="str">
        <f t="shared" si="43"/>
        <v>No</v>
      </c>
      <c r="R169" s="3" t="str">
        <f t="shared" si="44"/>
        <v>&gt; 50</v>
      </c>
      <c r="S169" s="3">
        <f t="shared" si="45"/>
        <v>593501843.34869301</v>
      </c>
    </row>
    <row r="170" spans="1:19" x14ac:dyDescent="0.35">
      <c r="A170" s="3" t="s">
        <v>333</v>
      </c>
      <c r="B170" s="3" t="s">
        <v>333</v>
      </c>
      <c r="C170" s="3">
        <v>0.34606524911730174</v>
      </c>
      <c r="D170" s="3">
        <v>-1.4782490100000001</v>
      </c>
      <c r="E170" s="3">
        <v>-5.39318689</v>
      </c>
      <c r="F170" s="3">
        <v>159755548.82665631</v>
      </c>
      <c r="G170" s="3">
        <v>1344037.1758087</v>
      </c>
      <c r="H170" s="3">
        <v>461634183.82556468</v>
      </c>
      <c r="I170" s="3">
        <f>CryptoTable[[#This Row],[volume_24h]]/CryptoTable[[#This Row],[circulating_supply]]</f>
        <v>2.9114767122977278E-3</v>
      </c>
      <c r="J170" s="3">
        <f>RANK(CryptoTable[[#This Row],[market_cap]],CryptoTable[market_cap],0)</f>
        <v>169</v>
      </c>
      <c r="K170" s="3" t="str">
        <f t="shared" si="39"/>
        <v>0-0.5</v>
      </c>
      <c r="L170" s="3">
        <f t="shared" si="40"/>
        <v>0.35125771277900603</v>
      </c>
      <c r="M170" s="3">
        <f>C170-CryptoTable[[#This Row],[Previous_Price]]</f>
        <v>-5.192463661704283E-3</v>
      </c>
      <c r="N170" s="3" t="str">
        <f t="shared" si="41"/>
        <v>&lt;10</v>
      </c>
      <c r="O170" s="3" t="str">
        <f t="shared" si="42"/>
        <v>0-50</v>
      </c>
      <c r="P170" s="3" t="str">
        <f t="shared" si="35"/>
        <v>Others</v>
      </c>
      <c r="Q170" s="3" t="str">
        <f t="shared" si="43"/>
        <v>No</v>
      </c>
      <c r="R170" s="3" t="str">
        <f t="shared" si="44"/>
        <v>&gt; 50</v>
      </c>
      <c r="S170" s="3">
        <f t="shared" si="45"/>
        <v>207129910.39132401</v>
      </c>
    </row>
    <row r="171" spans="1:19" x14ac:dyDescent="0.35">
      <c r="A171" s="3" t="s">
        <v>334</v>
      </c>
      <c r="B171" s="3" t="s">
        <v>335</v>
      </c>
      <c r="C171" s="3">
        <v>0.11238851334742948</v>
      </c>
      <c r="D171" s="3">
        <v>-0.83358051</v>
      </c>
      <c r="E171" s="3">
        <v>-3.5937868399999999</v>
      </c>
      <c r="F171" s="3">
        <v>158198565.59293807</v>
      </c>
      <c r="G171" s="3">
        <v>27294755.09887087</v>
      </c>
      <c r="H171" s="3">
        <v>1407604397.2918727</v>
      </c>
      <c r="I171" s="3">
        <f>CryptoTable[[#This Row],[volume_24h]]/CryptoTable[[#This Row],[circulating_supply]]</f>
        <v>1.9390927700555616E-2</v>
      </c>
      <c r="J171" s="3">
        <f>RANK(CryptoTable[[#This Row],[market_cap]],CryptoTable[market_cap],0)</f>
        <v>170</v>
      </c>
      <c r="K171" s="3" t="str">
        <f t="shared" si="39"/>
        <v>0-0.5</v>
      </c>
      <c r="L171" s="3">
        <f t="shared" si="40"/>
        <v>0.11333323712344258</v>
      </c>
      <c r="M171" s="3">
        <f>C171-CryptoTable[[#This Row],[Previous_Price]]</f>
        <v>-9.4472377601309554E-4</v>
      </c>
      <c r="N171" s="3" t="str">
        <f t="shared" si="41"/>
        <v>&lt;10</v>
      </c>
      <c r="O171" s="3" t="str">
        <f t="shared" si="42"/>
        <v>0-50</v>
      </c>
      <c r="P171" s="3" t="str">
        <f t="shared" si="35"/>
        <v>Others</v>
      </c>
      <c r="Q171" s="3" t="str">
        <f t="shared" si="43"/>
        <v>No</v>
      </c>
      <c r="R171" s="3" t="str">
        <f t="shared" si="44"/>
        <v>&gt; 50</v>
      </c>
      <c r="S171" s="3">
        <f t="shared" si="45"/>
        <v>521934320.68374342</v>
      </c>
    </row>
    <row r="172" spans="1:19" x14ac:dyDescent="0.35">
      <c r="A172" s="3" t="s">
        <v>336</v>
      </c>
      <c r="B172" s="3" t="s">
        <v>337</v>
      </c>
      <c r="C172" s="3">
        <v>3.2464374196679302E-2</v>
      </c>
      <c r="D172" s="3">
        <v>-1.0601108800000001</v>
      </c>
      <c r="E172" s="3">
        <v>-12.980571360000001</v>
      </c>
      <c r="F172" s="3">
        <v>150750105.0397307</v>
      </c>
      <c r="G172" s="3">
        <v>25037045.527757641</v>
      </c>
      <c r="H172" s="3">
        <v>4643554935.8333397</v>
      </c>
      <c r="I172" s="3">
        <f>CryptoTable[[#This Row],[volume_24h]]/CryptoTable[[#This Row],[circulating_supply]]</f>
        <v>5.3917840692595262E-3</v>
      </c>
      <c r="J172" s="3">
        <f>RANK(CryptoTable[[#This Row],[market_cap]],CryptoTable[market_cap],0)</f>
        <v>171</v>
      </c>
      <c r="K172" s="3" t="str">
        <f t="shared" si="39"/>
        <v>0-0.5</v>
      </c>
      <c r="L172" s="3">
        <f t="shared" si="40"/>
        <v>3.2812220112056763E-2</v>
      </c>
      <c r="M172" s="3">
        <f>C172-CryptoTable[[#This Row],[Previous_Price]]</f>
        <v>-3.4784591537746073E-4</v>
      </c>
      <c r="N172" s="3" t="str">
        <f t="shared" si="41"/>
        <v>&lt;10</v>
      </c>
      <c r="O172" s="3" t="str">
        <f t="shared" si="42"/>
        <v>0-50</v>
      </c>
      <c r="P172" s="3" t="str">
        <f t="shared" si="35"/>
        <v>Others</v>
      </c>
      <c r="Q172" s="3" t="str">
        <f t="shared" si="43"/>
        <v>Yes</v>
      </c>
      <c r="R172" s="3" t="str">
        <f t="shared" si="44"/>
        <v>&gt; 50</v>
      </c>
      <c r="S172" s="3">
        <f t="shared" si="45"/>
        <v>1598101679.9376533</v>
      </c>
    </row>
    <row r="173" spans="1:19" x14ac:dyDescent="0.35">
      <c r="A173" s="3" t="s">
        <v>338</v>
      </c>
      <c r="B173" s="3" t="s">
        <v>339</v>
      </c>
      <c r="C173" s="3">
        <v>5.1367014030389813</v>
      </c>
      <c r="D173" s="3">
        <v>-0.81054769999999998</v>
      </c>
      <c r="E173" s="3">
        <v>-8.0442228100000008</v>
      </c>
      <c r="F173" s="3">
        <v>150083137.46985111</v>
      </c>
      <c r="G173" s="3">
        <v>11233112.44898021</v>
      </c>
      <c r="H173" s="3">
        <v>29217804.519659009</v>
      </c>
      <c r="I173" s="3">
        <f>CryptoTable[[#This Row],[volume_24h]]/CryptoTable[[#This Row],[circulating_supply]]</f>
        <v>0.38446120896667935</v>
      </c>
      <c r="J173" s="3">
        <f>RANK(CryptoTable[[#This Row],[market_cap]],CryptoTable[market_cap],0)</f>
        <v>172</v>
      </c>
      <c r="K173" s="3" t="str">
        <f t="shared" si="39"/>
        <v>2-10</v>
      </c>
      <c r="L173" s="3">
        <f t="shared" si="40"/>
        <v>5.1786770507643798</v>
      </c>
      <c r="M173" s="3">
        <f>C173-CryptoTable[[#This Row],[Previous_Price]]</f>
        <v>-4.1975647725398524E-2</v>
      </c>
      <c r="N173" s="3" t="str">
        <f t="shared" si="41"/>
        <v>&lt;10</v>
      </c>
      <c r="O173" s="3" t="str">
        <f t="shared" si="42"/>
        <v>0-50</v>
      </c>
      <c r="P173" s="3" t="str">
        <f t="shared" si="35"/>
        <v>Others</v>
      </c>
      <c r="Q173" s="3" t="str">
        <f t="shared" si="43"/>
        <v>No</v>
      </c>
      <c r="R173" s="3" t="str">
        <f t="shared" si="44"/>
        <v>&gt; 50</v>
      </c>
      <c r="S173" s="3">
        <f t="shared" si="45"/>
        <v>59766980.392987467</v>
      </c>
    </row>
    <row r="174" spans="1:19" x14ac:dyDescent="0.35">
      <c r="A174" s="3" t="s">
        <v>340</v>
      </c>
      <c r="B174" s="3" t="s">
        <v>341</v>
      </c>
      <c r="C174" s="3">
        <v>1.7701402015415323E-3</v>
      </c>
      <c r="D174" s="3">
        <v>-7.4219320000000005E-2</v>
      </c>
      <c r="E174" s="3">
        <v>-6.3497596700000001</v>
      </c>
      <c r="F174" s="3">
        <v>149191216.78032401</v>
      </c>
      <c r="G174" s="3">
        <v>12582774.900544651</v>
      </c>
      <c r="H174" s="3">
        <v>84282147058.40834</v>
      </c>
      <c r="I174" s="3">
        <f>CryptoTable[[#This Row],[volume_24h]]/CryptoTable[[#This Row],[circulating_supply]]</f>
        <v>1.4929347839020602E-4</v>
      </c>
      <c r="J174" s="3">
        <f>RANK(CryptoTable[[#This Row],[market_cap]],CryptoTable[market_cap],0)</f>
        <v>173</v>
      </c>
      <c r="K174" s="3" t="str">
        <f t="shared" si="39"/>
        <v>0-0.5</v>
      </c>
      <c r="L174" s="3">
        <f t="shared" si="40"/>
        <v>1.7714549633694513E-3</v>
      </c>
      <c r="M174" s="3">
        <f>C174-CryptoTable[[#This Row],[Previous_Price]]</f>
        <v>-1.314761827918981E-6</v>
      </c>
      <c r="N174" s="3" t="str">
        <f t="shared" si="41"/>
        <v>&lt;10</v>
      </c>
      <c r="O174" s="3" t="str">
        <f t="shared" si="42"/>
        <v>0-50</v>
      </c>
      <c r="P174" s="3" t="str">
        <f t="shared" si="35"/>
        <v>Others</v>
      </c>
      <c r="Q174" s="3" t="str">
        <f t="shared" si="43"/>
        <v>Yes</v>
      </c>
      <c r="R174" s="3" t="str">
        <f t="shared" si="44"/>
        <v>&gt; 50</v>
      </c>
      <c r="S174" s="3">
        <f t="shared" si="45"/>
        <v>28143779425.038147</v>
      </c>
    </row>
    <row r="175" spans="1:19" x14ac:dyDescent="0.35">
      <c r="A175" s="3" t="s">
        <v>342</v>
      </c>
      <c r="B175" s="3" t="s">
        <v>343</v>
      </c>
      <c r="C175" s="3">
        <v>0.34445317581597673</v>
      </c>
      <c r="D175" s="3">
        <v>-2.2321497899999998</v>
      </c>
      <c r="E175" s="3">
        <v>-12.845221090000001</v>
      </c>
      <c r="F175" s="3">
        <v>148434158.09112254</v>
      </c>
      <c r="G175" s="3">
        <v>68451215.19221805</v>
      </c>
      <c r="H175" s="3">
        <v>430926954.69999999</v>
      </c>
      <c r="I175" s="3">
        <f>CryptoTable[[#This Row],[volume_24h]]/CryptoTable[[#This Row],[circulating_supply]]</f>
        <v>0.15884644588981905</v>
      </c>
      <c r="J175" s="3">
        <f>RANK(CryptoTable[[#This Row],[market_cap]],CryptoTable[market_cap],0)</f>
        <v>174</v>
      </c>
      <c r="K175" s="3" t="str">
        <f t="shared" si="39"/>
        <v>0-0.5</v>
      </c>
      <c r="L175" s="3">
        <f t="shared" si="40"/>
        <v>0.35231742855765996</v>
      </c>
      <c r="M175" s="3">
        <f>C175-CryptoTable[[#This Row],[Previous_Price]]</f>
        <v>-7.8642527416832309E-3</v>
      </c>
      <c r="N175" s="3" t="str">
        <f t="shared" si="41"/>
        <v>&lt;10</v>
      </c>
      <c r="O175" s="3" t="str">
        <f t="shared" si="42"/>
        <v>0-50</v>
      </c>
      <c r="P175" s="3" t="str">
        <f t="shared" si="35"/>
        <v>Others</v>
      </c>
      <c r="Q175" s="3" t="str">
        <f t="shared" si="43"/>
        <v>No</v>
      </c>
      <c r="R175" s="3" t="str">
        <f t="shared" si="44"/>
        <v>&gt; 50</v>
      </c>
      <c r="S175" s="3">
        <f t="shared" si="45"/>
        <v>193120370.18632424</v>
      </c>
    </row>
    <row r="176" spans="1:19" x14ac:dyDescent="0.35">
      <c r="A176" s="3" t="s">
        <v>344</v>
      </c>
      <c r="B176" s="3" t="s">
        <v>345</v>
      </c>
      <c r="C176" s="3">
        <v>2.9689825610180627</v>
      </c>
      <c r="D176" s="3">
        <v>-0.75451853000000002</v>
      </c>
      <c r="E176" s="3">
        <v>-5.0345332899999997</v>
      </c>
      <c r="F176" s="3">
        <v>146311946.58777514</v>
      </c>
      <c r="G176" s="3">
        <v>21563980.31995583</v>
      </c>
      <c r="H176" s="3">
        <v>49280163.685974918</v>
      </c>
      <c r="I176" s="3">
        <f>CryptoTable[[#This Row],[volume_24h]]/CryptoTable[[#This Row],[circulating_supply]]</f>
        <v>0.43757931603812661</v>
      </c>
      <c r="J176" s="3">
        <f>RANK(CryptoTable[[#This Row],[market_cap]],CryptoTable[market_cap],0)</f>
        <v>175</v>
      </c>
      <c r="K176" s="3" t="str">
        <f t="shared" si="39"/>
        <v>2-10</v>
      </c>
      <c r="L176" s="3">
        <f t="shared" si="40"/>
        <v>2.9915543932501643</v>
      </c>
      <c r="M176" s="3">
        <f>C176-CryptoTable[[#This Row],[Previous_Price]]</f>
        <v>-2.2571832232101574E-2</v>
      </c>
      <c r="N176" s="3" t="str">
        <f t="shared" si="41"/>
        <v>&lt;10</v>
      </c>
      <c r="O176" s="3" t="str">
        <f t="shared" si="42"/>
        <v>0-50</v>
      </c>
      <c r="P176" s="3" t="str">
        <f t="shared" si="35"/>
        <v>Others</v>
      </c>
      <c r="Q176" s="3" t="str">
        <f t="shared" si="43"/>
        <v>No</v>
      </c>
      <c r="R176" s="3" t="str">
        <f t="shared" si="44"/>
        <v>&gt; 50</v>
      </c>
      <c r="S176" s="3">
        <f t="shared" si="45"/>
        <v>65197369.839743845</v>
      </c>
    </row>
    <row r="177" spans="1:19" x14ac:dyDescent="0.35">
      <c r="A177" s="3" t="s">
        <v>346</v>
      </c>
      <c r="B177" s="3" t="s">
        <v>347</v>
      </c>
      <c r="C177" s="3">
        <v>3.7459847067679013E-2</v>
      </c>
      <c r="D177" s="3">
        <v>-0.30465515999999998</v>
      </c>
      <c r="E177" s="3">
        <v>-5.9772505899999997</v>
      </c>
      <c r="F177" s="3">
        <v>142886231.80133051</v>
      </c>
      <c r="G177" s="3">
        <v>11496028.8169301</v>
      </c>
      <c r="H177" s="3">
        <v>3814383746.5</v>
      </c>
      <c r="I177" s="3">
        <f>CryptoTable[[#This Row],[volume_24h]]/CryptoTable[[#This Row],[circulating_supply]]</f>
        <v>3.013862678992018E-3</v>
      </c>
      <c r="J177" s="3">
        <f>RANK(CryptoTable[[#This Row],[market_cap]],CryptoTable[market_cap],0)</f>
        <v>176</v>
      </c>
      <c r="K177" s="3" t="str">
        <f t="shared" si="39"/>
        <v>0-0.5</v>
      </c>
      <c r="L177" s="3">
        <f t="shared" si="40"/>
        <v>3.7574319169864874E-2</v>
      </c>
      <c r="M177" s="3">
        <f>C177-CryptoTable[[#This Row],[Previous_Price]]</f>
        <v>-1.1447210218586135E-4</v>
      </c>
      <c r="N177" s="3" t="str">
        <f t="shared" si="41"/>
        <v>&lt;10</v>
      </c>
      <c r="O177" s="3" t="str">
        <f t="shared" si="42"/>
        <v>0-50</v>
      </c>
      <c r="P177" s="3" t="str">
        <f t="shared" si="35"/>
        <v>Others</v>
      </c>
      <c r="Q177" s="3" t="str">
        <f t="shared" si="43"/>
        <v>No</v>
      </c>
      <c r="R177" s="3" t="str">
        <f t="shared" si="44"/>
        <v>&gt; 50</v>
      </c>
      <c r="S177" s="3">
        <f t="shared" si="45"/>
        <v>1319089992.6655586</v>
      </c>
    </row>
    <row r="178" spans="1:19" x14ac:dyDescent="0.35">
      <c r="A178" s="3" t="s">
        <v>348</v>
      </c>
      <c r="B178" s="3" t="s">
        <v>349</v>
      </c>
      <c r="C178" s="3">
        <v>3.7851585409123603E-2</v>
      </c>
      <c r="D178" s="3">
        <v>-3.0047032300000001</v>
      </c>
      <c r="E178" s="3">
        <v>-4.1472504800000003</v>
      </c>
      <c r="F178" s="3">
        <v>142525046.2245982</v>
      </c>
      <c r="G178" s="3">
        <v>722920264.99552584</v>
      </c>
      <c r="H178" s="3">
        <v>3765365299.3421116</v>
      </c>
      <c r="I178" s="3">
        <f>CryptoTable[[#This Row],[volume_24h]]/CryptoTable[[#This Row],[circulating_supply]]</f>
        <v>0.19199206651259978</v>
      </c>
      <c r="J178" s="3">
        <f>RANK(CryptoTable[[#This Row],[market_cap]],CryptoTable[market_cap],0)</f>
        <v>177</v>
      </c>
      <c r="K178" s="3" t="str">
        <f t="shared" si="39"/>
        <v>0-0.5</v>
      </c>
      <c r="L178" s="3">
        <f t="shared" si="40"/>
        <v>3.9024145159202037E-2</v>
      </c>
      <c r="M178" s="3">
        <f>C178-CryptoTable[[#This Row],[Previous_Price]]</f>
        <v>-1.1725597500784335E-3</v>
      </c>
      <c r="N178" s="3" t="str">
        <f t="shared" si="41"/>
        <v>&lt;10</v>
      </c>
      <c r="O178" s="3" t="str">
        <f t="shared" si="42"/>
        <v>0-50</v>
      </c>
      <c r="P178" s="3" t="str">
        <f t="shared" si="35"/>
        <v>Others</v>
      </c>
      <c r="Q178" s="3" t="str">
        <f t="shared" si="43"/>
        <v>No</v>
      </c>
      <c r="R178" s="3" t="str">
        <f t="shared" si="44"/>
        <v>&gt; 50</v>
      </c>
      <c r="S178" s="3">
        <f t="shared" si="45"/>
        <v>1302630114.1873355</v>
      </c>
    </row>
    <row r="179" spans="1:19" x14ac:dyDescent="0.35">
      <c r="A179" s="3" t="s">
        <v>350</v>
      </c>
      <c r="B179" s="3" t="s">
        <v>351</v>
      </c>
      <c r="C179" s="3">
        <v>7.9106879121952396</v>
      </c>
      <c r="D179" s="3">
        <v>-0.10950239</v>
      </c>
      <c r="E179" s="3">
        <v>-7.8977870399999999</v>
      </c>
      <c r="F179" s="3">
        <v>140780263.46666962</v>
      </c>
      <c r="G179" s="3">
        <v>47302730.779075623</v>
      </c>
      <c r="H179" s="3">
        <v>17796210.01729073</v>
      </c>
      <c r="I179" s="3">
        <f>CryptoTable[[#This Row],[volume_24h]]/CryptoTable[[#This Row],[circulating_supply]]</f>
        <v>2.658022732543416</v>
      </c>
      <c r="J179" s="3">
        <f>RANK(CryptoTable[[#This Row],[market_cap]],CryptoTable[market_cap],0)</f>
        <v>178</v>
      </c>
      <c r="K179" s="3" t="str">
        <f t="shared" si="39"/>
        <v>2-10</v>
      </c>
      <c r="L179" s="3">
        <f t="shared" si="40"/>
        <v>7.9193598004494312</v>
      </c>
      <c r="M179" s="3">
        <f>C179-CryptoTable[[#This Row],[Previous_Price]]</f>
        <v>-8.6718882541916287E-3</v>
      </c>
      <c r="N179" s="3" t="str">
        <f t="shared" si="41"/>
        <v>&lt;10</v>
      </c>
      <c r="O179" s="3" t="str">
        <f t="shared" si="42"/>
        <v>0-50</v>
      </c>
      <c r="P179" s="3" t="str">
        <f t="shared" si="35"/>
        <v>Others</v>
      </c>
      <c r="Q179" s="3" t="str">
        <f t="shared" si="43"/>
        <v>No</v>
      </c>
      <c r="R179" s="3" t="str">
        <f t="shared" si="44"/>
        <v>&gt; 50</v>
      </c>
      <c r="S179" s="3">
        <f t="shared" si="45"/>
        <v>52858824.458152659</v>
      </c>
    </row>
    <row r="180" spans="1:19" x14ac:dyDescent="0.35">
      <c r="A180" s="3" t="s">
        <v>352</v>
      </c>
      <c r="B180" s="3" t="s">
        <v>353</v>
      </c>
      <c r="C180" s="3">
        <v>2.820332514521076E-3</v>
      </c>
      <c r="D180" s="3">
        <v>-0.43105486999999998</v>
      </c>
      <c r="E180" s="3">
        <v>-5.43900264</v>
      </c>
      <c r="F180" s="3">
        <v>139510579.91844547</v>
      </c>
      <c r="G180" s="3">
        <v>11936290.369521091</v>
      </c>
      <c r="H180" s="3">
        <v>49466004168</v>
      </c>
      <c r="I180" s="3">
        <f>CryptoTable[[#This Row],[volume_24h]]/CryptoTable[[#This Row],[circulating_supply]]</f>
        <v>2.4130290227167335E-4</v>
      </c>
      <c r="J180" s="3">
        <f>RANK(CryptoTable[[#This Row],[market_cap]],CryptoTable[market_cap],0)</f>
        <v>179</v>
      </c>
      <c r="K180" s="3" t="str">
        <f t="shared" si="39"/>
        <v>0-0.5</v>
      </c>
      <c r="L180" s="3">
        <f t="shared" si="40"/>
        <v>2.832542326162812E-3</v>
      </c>
      <c r="M180" s="3">
        <f>C180-CryptoTable[[#This Row],[Previous_Price]]</f>
        <v>-1.220981164173603E-5</v>
      </c>
      <c r="N180" s="3" t="str">
        <f t="shared" si="41"/>
        <v>&lt;10</v>
      </c>
      <c r="O180" s="3" t="str">
        <f t="shared" si="42"/>
        <v>0-50</v>
      </c>
      <c r="P180" s="3" t="str">
        <f t="shared" si="35"/>
        <v>Others</v>
      </c>
      <c r="Q180" s="3" t="str">
        <f t="shared" si="43"/>
        <v>Yes</v>
      </c>
      <c r="R180" s="3" t="str">
        <f t="shared" si="44"/>
        <v>&gt; 50</v>
      </c>
      <c r="S180" s="3">
        <f t="shared" si="45"/>
        <v>16535171582.495796</v>
      </c>
    </row>
    <row r="181" spans="1:19" x14ac:dyDescent="0.35">
      <c r="A181" s="3" t="s">
        <v>354</v>
      </c>
      <c r="B181" s="3" t="s">
        <v>355</v>
      </c>
      <c r="C181" s="3">
        <v>2.5836294442327646E-2</v>
      </c>
      <c r="D181" s="3">
        <v>-0.64604174999999997</v>
      </c>
      <c r="E181" s="3">
        <v>-9.2498728900000007</v>
      </c>
      <c r="F181" s="3">
        <v>137476103.88549843</v>
      </c>
      <c r="G181" s="3">
        <v>29583942.918729018</v>
      </c>
      <c r="H181" s="3">
        <v>5321045717</v>
      </c>
      <c r="I181" s="3">
        <f>CryptoTable[[#This Row],[volume_24h]]/CryptoTable[[#This Row],[circulating_supply]]</f>
        <v>5.5597986734472965E-3</v>
      </c>
      <c r="J181" s="3">
        <f>RANK(CryptoTable[[#This Row],[market_cap]],CryptoTable[market_cap],0)</f>
        <v>180</v>
      </c>
      <c r="K181" s="3" t="str">
        <f t="shared" si="39"/>
        <v>0-0.5</v>
      </c>
      <c r="L181" s="3">
        <f t="shared" si="40"/>
        <v>2.6004293032107401E-2</v>
      </c>
      <c r="M181" s="3">
        <f>C181-CryptoTable[[#This Row],[Previous_Price]]</f>
        <v>-1.6799858977975535E-4</v>
      </c>
      <c r="N181" s="3" t="str">
        <f t="shared" si="41"/>
        <v>&lt;10</v>
      </c>
      <c r="O181" s="3" t="str">
        <f t="shared" si="42"/>
        <v>0-50</v>
      </c>
      <c r="P181" s="3" t="str">
        <f t="shared" si="35"/>
        <v>Others</v>
      </c>
      <c r="Q181" s="3" t="str">
        <f t="shared" si="43"/>
        <v>No</v>
      </c>
      <c r="R181" s="3" t="str">
        <f t="shared" si="44"/>
        <v>&gt; 50</v>
      </c>
      <c r="S181" s="3">
        <f t="shared" si="45"/>
        <v>1819507273.4131525</v>
      </c>
    </row>
    <row r="182" spans="1:19" x14ac:dyDescent="0.35">
      <c r="A182" s="3" t="s">
        <v>356</v>
      </c>
      <c r="B182" s="3" t="s">
        <v>357</v>
      </c>
      <c r="C182" s="3">
        <v>8.0123631975860081E-3</v>
      </c>
      <c r="D182" s="3">
        <v>-1.14768779</v>
      </c>
      <c r="E182" s="3">
        <v>-9.9624507799999993</v>
      </c>
      <c r="F182" s="3">
        <v>133058210.78349759</v>
      </c>
      <c r="G182" s="3">
        <v>21857480.214093499</v>
      </c>
      <c r="H182" s="3">
        <v>16606612494</v>
      </c>
      <c r="I182" s="3">
        <f>CryptoTable[[#This Row],[volume_24h]]/CryptoTable[[#This Row],[circulating_supply]]</f>
        <v>1.3161913799090963E-3</v>
      </c>
      <c r="J182" s="3">
        <f>RANK(CryptoTable[[#This Row],[market_cap]],CryptoTable[market_cap],0)</f>
        <v>181</v>
      </c>
      <c r="K182" s="3" t="str">
        <f t="shared" si="39"/>
        <v>0-0.5</v>
      </c>
      <c r="L182" s="3">
        <f t="shared" si="40"/>
        <v>8.1053877430450928E-3</v>
      </c>
      <c r="M182" s="3">
        <f>C182-CryptoTable[[#This Row],[Previous_Price]]</f>
        <v>-9.3024545459084729E-5</v>
      </c>
      <c r="N182" s="3" t="str">
        <f t="shared" si="41"/>
        <v>&lt;10</v>
      </c>
      <c r="O182" s="3" t="str">
        <f t="shared" si="42"/>
        <v>0-50</v>
      </c>
      <c r="P182" s="3" t="str">
        <f t="shared" si="35"/>
        <v>Others</v>
      </c>
      <c r="Q182" s="3" t="str">
        <f t="shared" si="43"/>
        <v>Yes</v>
      </c>
      <c r="R182" s="3" t="str">
        <f t="shared" si="44"/>
        <v>&gt; 50</v>
      </c>
      <c r="S182" s="3">
        <f t="shared" si="45"/>
        <v>5579890234.54527</v>
      </c>
    </row>
    <row r="183" spans="1:19" x14ac:dyDescent="0.35">
      <c r="A183" s="3" t="s">
        <v>358</v>
      </c>
      <c r="B183" s="3" t="s">
        <v>359</v>
      </c>
      <c r="C183" s="3">
        <v>0.37610876275072919</v>
      </c>
      <c r="D183" s="3">
        <v>-3.1010590000000001E-2</v>
      </c>
      <c r="E183" s="3">
        <v>-8.4690571800000001</v>
      </c>
      <c r="F183" s="3">
        <v>129180653.92194119</v>
      </c>
      <c r="G183" s="3">
        <v>25041779.064384561</v>
      </c>
      <c r="H183" s="3">
        <v>343466216.99839866</v>
      </c>
      <c r="I183" s="3">
        <f>CryptoTable[[#This Row],[volume_24h]]/CryptoTable[[#This Row],[circulating_supply]]</f>
        <v>7.290900189028289E-2</v>
      </c>
      <c r="J183" s="3">
        <f>RANK(CryptoTable[[#This Row],[market_cap]],CryptoTable[market_cap],0)</f>
        <v>182</v>
      </c>
      <c r="K183" s="3" t="str">
        <f t="shared" si="39"/>
        <v>0-0.5</v>
      </c>
      <c r="L183" s="3">
        <f t="shared" si="40"/>
        <v>0.37622543247707041</v>
      </c>
      <c r="M183" s="3">
        <f>C183-CryptoTable[[#This Row],[Previous_Price]]</f>
        <v>-1.1666972634122308E-4</v>
      </c>
      <c r="N183" s="3" t="str">
        <f t="shared" si="41"/>
        <v>&lt;10</v>
      </c>
      <c r="O183" s="3" t="str">
        <f t="shared" si="42"/>
        <v>0-50</v>
      </c>
      <c r="P183" s="3" t="str">
        <f t="shared" si="35"/>
        <v>Others</v>
      </c>
      <c r="Q183" s="3" t="str">
        <f t="shared" si="43"/>
        <v>No</v>
      </c>
      <c r="R183" s="3" t="str">
        <f t="shared" si="44"/>
        <v>&gt; 50</v>
      </c>
      <c r="S183" s="3">
        <f t="shared" si="45"/>
        <v>157548956.96310976</v>
      </c>
    </row>
    <row r="184" spans="1:19" x14ac:dyDescent="0.35">
      <c r="A184" s="3" t="s">
        <v>360</v>
      </c>
      <c r="B184" s="3" t="s">
        <v>361</v>
      </c>
      <c r="C184" s="3">
        <v>2.0629761554670297E-3</v>
      </c>
      <c r="D184" s="3">
        <v>-0.29875132999999998</v>
      </c>
      <c r="E184" s="3">
        <v>-7.9988592599999997</v>
      </c>
      <c r="F184" s="3">
        <v>129045706.59851098</v>
      </c>
      <c r="G184" s="3">
        <v>12283618.177664841</v>
      </c>
      <c r="H184" s="3">
        <v>62553174091</v>
      </c>
      <c r="I184" s="3">
        <f>CryptoTable[[#This Row],[volume_24h]]/CryptoTable[[#This Row],[circulating_supply]]</f>
        <v>1.9637082140380431E-4</v>
      </c>
      <c r="J184" s="3">
        <f>RANK(CryptoTable[[#This Row],[market_cap]],CryptoTable[market_cap],0)</f>
        <v>183</v>
      </c>
      <c r="K184" s="3" t="str">
        <f t="shared" si="39"/>
        <v>0-0.5</v>
      </c>
      <c r="L184" s="3">
        <f t="shared" si="40"/>
        <v>2.0691577918901002E-3</v>
      </c>
      <c r="M184" s="3">
        <f>C184-CryptoTable[[#This Row],[Previous_Price]]</f>
        <v>-6.181636423070562E-6</v>
      </c>
      <c r="N184" s="3" t="str">
        <f t="shared" si="41"/>
        <v>&lt;10</v>
      </c>
      <c r="O184" s="3" t="str">
        <f t="shared" si="42"/>
        <v>0-50</v>
      </c>
      <c r="P184" s="3" t="str">
        <f t="shared" si="35"/>
        <v>Others</v>
      </c>
      <c r="Q184" s="3" t="str">
        <f t="shared" si="43"/>
        <v>No</v>
      </c>
      <c r="R184" s="3" t="str">
        <f t="shared" si="44"/>
        <v>&gt; 50</v>
      </c>
      <c r="S184" s="3">
        <f t="shared" si="45"/>
        <v>20894073265.766586</v>
      </c>
    </row>
    <row r="185" spans="1:19" x14ac:dyDescent="0.35">
      <c r="A185" s="3" t="s">
        <v>362</v>
      </c>
      <c r="B185" s="3" t="s">
        <v>363</v>
      </c>
      <c r="C185" s="3">
        <v>0.3882928950675168</v>
      </c>
      <c r="D185" s="3">
        <v>0.17680371</v>
      </c>
      <c r="E185" s="3">
        <v>-2.00927056</v>
      </c>
      <c r="F185" s="3">
        <v>127707632.03316161</v>
      </c>
      <c r="G185" s="3">
        <v>4057216.8518260899</v>
      </c>
      <c r="H185" s="3">
        <v>328895103.81320697</v>
      </c>
      <c r="I185" s="3">
        <f>CryptoTable[[#This Row],[volume_24h]]/CryptoTable[[#This Row],[circulating_supply]]</f>
        <v>1.2335899211592855E-2</v>
      </c>
      <c r="J185" s="3">
        <f>RANK(CryptoTable[[#This Row],[market_cap]],CryptoTable[market_cap],0)</f>
        <v>184</v>
      </c>
      <c r="K185" s="3" t="str">
        <f t="shared" si="39"/>
        <v>0-0.5</v>
      </c>
      <c r="L185" s="3">
        <f t="shared" si="40"/>
        <v>0.38760759046732896</v>
      </c>
      <c r="M185" s="3">
        <f>C185-CryptoTable[[#This Row],[Previous_Price]]</f>
        <v>6.8530460018784156E-4</v>
      </c>
      <c r="N185" s="3" t="str">
        <f t="shared" si="41"/>
        <v>&lt;10</v>
      </c>
      <c r="O185" s="3" t="str">
        <f t="shared" si="42"/>
        <v>0-50</v>
      </c>
      <c r="P185" s="3" t="str">
        <f t="shared" si="35"/>
        <v>Others</v>
      </c>
      <c r="Q185" s="3" t="str">
        <f t="shared" si="43"/>
        <v>No</v>
      </c>
      <c r="R185" s="3" t="str">
        <f t="shared" si="44"/>
        <v>&gt; 50</v>
      </c>
      <c r="S185" s="3">
        <f t="shared" si="45"/>
        <v>152200912.00772408</v>
      </c>
    </row>
    <row r="186" spans="1:19" x14ac:dyDescent="0.35">
      <c r="A186" s="3" t="s">
        <v>364</v>
      </c>
      <c r="B186" s="3" t="s">
        <v>365</v>
      </c>
      <c r="C186" s="3">
        <v>0.12946673481050139</v>
      </c>
      <c r="D186" s="3">
        <v>-4.0707123200000002</v>
      </c>
      <c r="E186" s="3">
        <v>-19.33509355</v>
      </c>
      <c r="F186" s="3">
        <v>126553266.69921644</v>
      </c>
      <c r="G186" s="3">
        <v>32868198.408701461</v>
      </c>
      <c r="H186" s="3">
        <v>977496396.154971</v>
      </c>
      <c r="I186" s="3">
        <f>CryptoTable[[#This Row],[volume_24h]]/CryptoTable[[#This Row],[circulating_supply]]</f>
        <v>3.3624879373458663E-2</v>
      </c>
      <c r="J186" s="3">
        <f>RANK(CryptoTable[[#This Row],[market_cap]],CryptoTable[market_cap],0)</f>
        <v>185</v>
      </c>
      <c r="K186" s="3" t="str">
        <f t="shared" si="39"/>
        <v>0-0.5</v>
      </c>
      <c r="L186" s="3">
        <f t="shared" si="40"/>
        <v>0.13496059226706164</v>
      </c>
      <c r="M186" s="3">
        <f>C186-CryptoTable[[#This Row],[Previous_Price]]</f>
        <v>-5.4938574565602527E-3</v>
      </c>
      <c r="N186" s="3" t="str">
        <f t="shared" si="41"/>
        <v>&lt;10</v>
      </c>
      <c r="O186" s="3" t="str">
        <f t="shared" si="42"/>
        <v>0-50</v>
      </c>
      <c r="P186" s="3" t="str">
        <f t="shared" si="35"/>
        <v>Others</v>
      </c>
      <c r="Q186" s="3" t="str">
        <f t="shared" si="43"/>
        <v>Yes</v>
      </c>
      <c r="R186" s="3" t="str">
        <f t="shared" si="44"/>
        <v>&gt; 50</v>
      </c>
      <c r="S186" s="3">
        <f t="shared" si="45"/>
        <v>368016552.92782503</v>
      </c>
    </row>
    <row r="187" spans="1:19" x14ac:dyDescent="0.35">
      <c r="A187" s="3" t="s">
        <v>366</v>
      </c>
      <c r="B187" s="3" t="s">
        <v>367</v>
      </c>
      <c r="C187" s="3">
        <v>0.25210851077499241</v>
      </c>
      <c r="D187" s="3">
        <v>-1.4455425500000001</v>
      </c>
      <c r="E187" s="3">
        <v>-4.7866527699999999</v>
      </c>
      <c r="F187" s="3">
        <v>125903614.79978515</v>
      </c>
      <c r="G187" s="3">
        <v>31924006.815678298</v>
      </c>
      <c r="H187" s="3">
        <v>499402477.18235302</v>
      </c>
      <c r="I187" s="3">
        <f>CryptoTable[[#This Row],[volume_24h]]/CryptoTable[[#This Row],[circulating_supply]]</f>
        <v>6.3924406213991383E-2</v>
      </c>
      <c r="J187" s="3">
        <f>RANK(CryptoTable[[#This Row],[market_cap]],CryptoTable[market_cap],0)</f>
        <v>186</v>
      </c>
      <c r="K187" s="3" t="str">
        <f t="shared" si="39"/>
        <v>0-0.5</v>
      </c>
      <c r="L187" s="3">
        <f t="shared" si="40"/>
        <v>0.2558062996824832</v>
      </c>
      <c r="M187" s="3">
        <f>C187-CryptoTable[[#This Row],[Previous_Price]]</f>
        <v>-3.6977889074907844E-3</v>
      </c>
      <c r="N187" s="3" t="str">
        <f t="shared" si="41"/>
        <v>&lt;10</v>
      </c>
      <c r="O187" s="3" t="str">
        <f t="shared" si="42"/>
        <v>0-50</v>
      </c>
      <c r="P187" s="3" t="str">
        <f t="shared" si="35"/>
        <v>Others</v>
      </c>
      <c r="Q187" s="3" t="str">
        <f t="shared" si="43"/>
        <v>No</v>
      </c>
      <c r="R187" s="3" t="str">
        <f t="shared" si="44"/>
        <v>&gt; 50</v>
      </c>
      <c r="S187" s="3">
        <f t="shared" si="45"/>
        <v>208435363.51219854</v>
      </c>
    </row>
    <row r="188" spans="1:19" x14ac:dyDescent="0.35">
      <c r="A188" s="3" t="s">
        <v>368</v>
      </c>
      <c r="B188" s="3" t="s">
        <v>369</v>
      </c>
      <c r="C188" s="3">
        <v>0.15169948145184253</v>
      </c>
      <c r="D188" s="3">
        <v>0.29716859000000001</v>
      </c>
      <c r="E188" s="3">
        <v>-10.00353035</v>
      </c>
      <c r="F188" s="3">
        <v>124505996.02308576</v>
      </c>
      <c r="G188" s="3">
        <v>12318614.012996919</v>
      </c>
      <c r="H188" s="3">
        <v>820741078.55543709</v>
      </c>
      <c r="I188" s="3">
        <f>CryptoTable[[#This Row],[volume_24h]]/CryptoTable[[#This Row],[circulating_supply]]</f>
        <v>1.5009135444613738E-2</v>
      </c>
      <c r="J188" s="3">
        <f>RANK(CryptoTable[[#This Row],[market_cap]],CryptoTable[market_cap],0)</f>
        <v>187</v>
      </c>
      <c r="K188" s="3" t="str">
        <f t="shared" si="39"/>
        <v>0-0.5</v>
      </c>
      <c r="L188" s="3">
        <f t="shared" si="40"/>
        <v>0.1512500139181073</v>
      </c>
      <c r="M188" s="3">
        <f>C188-CryptoTable[[#This Row],[Previous_Price]]</f>
        <v>4.4946753373523163E-4</v>
      </c>
      <c r="N188" s="3" t="str">
        <f t="shared" si="41"/>
        <v>&lt;10</v>
      </c>
      <c r="O188" s="3" t="str">
        <f t="shared" si="42"/>
        <v>0-50</v>
      </c>
      <c r="P188" s="3" t="str">
        <f t="shared" si="35"/>
        <v>Others</v>
      </c>
      <c r="Q188" s="3" t="str">
        <f t="shared" si="43"/>
        <v>Yes</v>
      </c>
      <c r="R188" s="3" t="str">
        <f t="shared" si="44"/>
        <v>&gt; 50</v>
      </c>
      <c r="S188" s="3">
        <f t="shared" si="45"/>
        <v>315082358.29189712</v>
      </c>
    </row>
    <row r="189" spans="1:19" x14ac:dyDescent="0.35">
      <c r="A189" s="3" t="s">
        <v>370</v>
      </c>
      <c r="B189" s="3" t="s">
        <v>371</v>
      </c>
      <c r="C189" s="3">
        <v>0.16173351819820211</v>
      </c>
      <c r="D189" s="3">
        <v>-0.75151104999999996</v>
      </c>
      <c r="E189" s="3">
        <v>-8.8221134800000005</v>
      </c>
      <c r="F189" s="3">
        <v>121728977.49815689</v>
      </c>
      <c r="G189" s="3">
        <v>29552497.5311331</v>
      </c>
      <c r="H189" s="3">
        <v>752651515</v>
      </c>
      <c r="I189" s="3">
        <f>CryptoTable[[#This Row],[volume_24h]]/CryptoTable[[#This Row],[circulating_supply]]</f>
        <v>3.9264516103622138E-2</v>
      </c>
      <c r="J189" s="3">
        <f>RANK(CryptoTable[[#This Row],[market_cap]],CryptoTable[market_cap],0)</f>
        <v>188</v>
      </c>
      <c r="K189" s="3" t="str">
        <f t="shared" si="39"/>
        <v>0-0.5</v>
      </c>
      <c r="L189" s="3">
        <f t="shared" si="40"/>
        <v>0.16295816682879796</v>
      </c>
      <c r="M189" s="3">
        <f>C189-CryptoTable[[#This Row],[Previous_Price]]</f>
        <v>-1.2246486305958482E-3</v>
      </c>
      <c r="N189" s="3" t="str">
        <f t="shared" si="41"/>
        <v>&lt;10</v>
      </c>
      <c r="O189" s="3" t="str">
        <f t="shared" si="42"/>
        <v>0-50</v>
      </c>
      <c r="P189" s="3" t="str">
        <f t="shared" si="35"/>
        <v>Others</v>
      </c>
      <c r="Q189" s="3" t="str">
        <f t="shared" si="43"/>
        <v>Yes</v>
      </c>
      <c r="R189" s="3" t="str">
        <f t="shared" si="44"/>
        <v>&gt; 50</v>
      </c>
      <c r="S189" s="3">
        <f t="shared" si="45"/>
        <v>291460163.91554862</v>
      </c>
    </row>
    <row r="190" spans="1:19" x14ac:dyDescent="0.35">
      <c r="A190" s="3" t="s">
        <v>372</v>
      </c>
      <c r="B190" s="3" t="s">
        <v>373</v>
      </c>
      <c r="C190" s="3">
        <v>0.14533288351561144</v>
      </c>
      <c r="D190" s="3">
        <v>-1.3386981200000001</v>
      </c>
      <c r="E190" s="3">
        <v>3.0661902400000001</v>
      </c>
      <c r="F190" s="3">
        <v>120826125.88745858</v>
      </c>
      <c r="G190" s="3">
        <v>16195087.278877759</v>
      </c>
      <c r="H190" s="3">
        <v>831374999</v>
      </c>
      <c r="I190" s="3">
        <f>CryptoTable[[#This Row],[volume_24h]]/CryptoTable[[#This Row],[circulating_supply]]</f>
        <v>1.9479882481861544E-2</v>
      </c>
      <c r="J190" s="3">
        <f>RANK(CryptoTable[[#This Row],[market_cap]],CryptoTable[market_cap],0)</f>
        <v>189</v>
      </c>
      <c r="K190" s="3" t="str">
        <f t="shared" si="39"/>
        <v>0-0.5</v>
      </c>
      <c r="L190" s="3">
        <f t="shared" si="40"/>
        <v>0.14730485078372194</v>
      </c>
      <c r="M190" s="3">
        <f>C190-CryptoTable[[#This Row],[Previous_Price]]</f>
        <v>-1.9719672681104972E-3</v>
      </c>
      <c r="N190" s="3" t="str">
        <f t="shared" si="41"/>
        <v>&lt;10</v>
      </c>
      <c r="O190" s="3" t="str">
        <f t="shared" si="42"/>
        <v>0-50</v>
      </c>
      <c r="P190" s="3" t="str">
        <f t="shared" si="35"/>
        <v>Others</v>
      </c>
      <c r="Q190" s="3" t="str">
        <f t="shared" si="43"/>
        <v>Yes</v>
      </c>
      <c r="R190" s="3" t="str">
        <f t="shared" si="44"/>
        <v>&gt; 50</v>
      </c>
      <c r="S190" s="3">
        <f t="shared" si="45"/>
        <v>317400374.51625347</v>
      </c>
    </row>
    <row r="191" spans="1:19" x14ac:dyDescent="0.35">
      <c r="A191" s="3" t="s">
        <v>374</v>
      </c>
      <c r="B191" s="3" t="s">
        <v>375</v>
      </c>
      <c r="C191" s="3">
        <v>1.1282258177564559</v>
      </c>
      <c r="D191" s="3">
        <v>-0.24197077</v>
      </c>
      <c r="E191" s="3">
        <v>-8.8845084399999994</v>
      </c>
      <c r="F191" s="3">
        <v>119539801.64920226</v>
      </c>
      <c r="G191" s="3">
        <v>27223446.874673609</v>
      </c>
      <c r="H191" s="3">
        <v>105953790.25</v>
      </c>
      <c r="I191" s="3">
        <f>CryptoTable[[#This Row],[volume_24h]]/CryptoTable[[#This Row],[circulating_supply]]</f>
        <v>0.25693697988943448</v>
      </c>
      <c r="J191" s="3">
        <f>RANK(CryptoTable[[#This Row],[market_cap]],CryptoTable[market_cap],0)</f>
        <v>190</v>
      </c>
      <c r="K191" s="3" t="str">
        <f t="shared" si="39"/>
        <v>1-2</v>
      </c>
      <c r="L191" s="3">
        <f t="shared" si="40"/>
        <v>1.1309624162234022</v>
      </c>
      <c r="M191" s="3">
        <f>C191-CryptoTable[[#This Row],[Previous_Price]]</f>
        <v>-2.7365984669462939E-3</v>
      </c>
      <c r="N191" s="3" t="str">
        <f t="shared" si="41"/>
        <v>&lt;10</v>
      </c>
      <c r="O191" s="3" t="str">
        <f t="shared" si="42"/>
        <v>0-50</v>
      </c>
      <c r="P191" s="3" t="str">
        <f t="shared" si="35"/>
        <v>Others</v>
      </c>
      <c r="Q191" s="3" t="str">
        <f t="shared" si="43"/>
        <v>No</v>
      </c>
      <c r="R191" s="3" t="str">
        <f t="shared" si="44"/>
        <v>&gt; 50</v>
      </c>
      <c r="S191" s="3">
        <f t="shared" si="45"/>
        <v>75164530.552410498</v>
      </c>
    </row>
    <row r="192" spans="1:19" x14ac:dyDescent="0.35">
      <c r="A192" s="3" t="s">
        <v>376</v>
      </c>
      <c r="B192" s="3" t="s">
        <v>377</v>
      </c>
      <c r="C192" s="3">
        <v>0.40617599483368849</v>
      </c>
      <c r="D192" s="3">
        <v>-0.90610009000000002</v>
      </c>
      <c r="E192" s="3">
        <v>-9.2376092700000001</v>
      </c>
      <c r="F192" s="3">
        <v>116595421.00819048</v>
      </c>
      <c r="G192" s="3">
        <v>6042872.0757912695</v>
      </c>
      <c r="H192" s="3">
        <v>287056405.32974201</v>
      </c>
      <c r="I192" s="3">
        <f>CryptoTable[[#This Row],[volume_24h]]/CryptoTable[[#This Row],[circulating_supply]]</f>
        <v>2.1051166124824199E-2</v>
      </c>
      <c r="J192" s="3">
        <f>RANK(CryptoTable[[#This Row],[market_cap]],CryptoTable[market_cap],0)</f>
        <v>191</v>
      </c>
      <c r="K192" s="3" t="str">
        <f t="shared" si="39"/>
        <v>0-0.5</v>
      </c>
      <c r="L192" s="3">
        <f t="shared" si="40"/>
        <v>0.40989000857024449</v>
      </c>
      <c r="M192" s="3">
        <f>C192-CryptoTable[[#This Row],[Previous_Price]]</f>
        <v>-3.7140137365559989E-3</v>
      </c>
      <c r="N192" s="3" t="str">
        <f t="shared" si="41"/>
        <v>&lt;10</v>
      </c>
      <c r="O192" s="3" t="str">
        <f t="shared" si="42"/>
        <v>0-50</v>
      </c>
      <c r="P192" s="3" t="str">
        <f t="shared" si="35"/>
        <v>Others</v>
      </c>
      <c r="Q192" s="3" t="str">
        <f t="shared" si="43"/>
        <v>Yes</v>
      </c>
      <c r="R192" s="3" t="str">
        <f t="shared" si="44"/>
        <v>&gt; 50</v>
      </c>
      <c r="S192" s="3">
        <f t="shared" si="45"/>
        <v>134550608.47727749</v>
      </c>
    </row>
    <row r="193" spans="1:19" x14ac:dyDescent="0.35">
      <c r="A193" s="3" t="s">
        <v>378</v>
      </c>
      <c r="B193" s="3" t="s">
        <v>378</v>
      </c>
      <c r="C193" s="3">
        <v>2.6077700326699243E-2</v>
      </c>
      <c r="D193" s="3">
        <v>-1.60629139</v>
      </c>
      <c r="E193" s="3">
        <v>-10.519254399999999</v>
      </c>
      <c r="F193" s="3">
        <v>116567320.43426791</v>
      </c>
      <c r="G193" s="3">
        <v>24390115.661836591</v>
      </c>
      <c r="H193" s="3">
        <v>4469999999</v>
      </c>
      <c r="I193" s="3">
        <f>CryptoTable[[#This Row],[volume_24h]]/CryptoTable[[#This Row],[circulating_supply]]</f>
        <v>5.4564017152780742E-3</v>
      </c>
      <c r="J193" s="3">
        <f>RANK(CryptoTable[[#This Row],[market_cap]],CryptoTable[market_cap],0)</f>
        <v>192</v>
      </c>
      <c r="K193" s="3" t="str">
        <f t="shared" si="39"/>
        <v>0-0.5</v>
      </c>
      <c r="L193" s="3">
        <f t="shared" si="40"/>
        <v>2.6503422520704645E-2</v>
      </c>
      <c r="M193" s="3">
        <f>C193-CryptoTable[[#This Row],[Previous_Price]]</f>
        <v>-4.2572219400540193E-4</v>
      </c>
      <c r="N193" s="3" t="str">
        <f t="shared" si="41"/>
        <v>&lt;10</v>
      </c>
      <c r="O193" s="3" t="str">
        <f t="shared" si="42"/>
        <v>0-50</v>
      </c>
      <c r="P193" s="3" t="str">
        <f t="shared" si="35"/>
        <v>Others</v>
      </c>
      <c r="Q193" s="3" t="str">
        <f t="shared" si="43"/>
        <v>No</v>
      </c>
      <c r="R193" s="3" t="str">
        <f t="shared" si="44"/>
        <v>&gt; 50</v>
      </c>
      <c r="S193" s="3">
        <f t="shared" si="45"/>
        <v>1528855772.6093254</v>
      </c>
    </row>
    <row r="194" spans="1:19" x14ac:dyDescent="0.35">
      <c r="A194" s="3" t="s">
        <v>379</v>
      </c>
      <c r="B194" s="3" t="s">
        <v>380</v>
      </c>
      <c r="C194" s="3">
        <v>1.6157969270902579E-2</v>
      </c>
      <c r="D194" s="3">
        <v>-1.2495672900000001</v>
      </c>
      <c r="E194" s="3">
        <v>-9.3963680800000002</v>
      </c>
      <c r="F194" s="3">
        <v>116521989.17239194</v>
      </c>
      <c r="G194" s="3">
        <v>4983859.3078842396</v>
      </c>
      <c r="H194" s="3">
        <v>7211425348</v>
      </c>
      <c r="I194" s="3">
        <f>CryptoTable[[#This Row],[volume_24h]]/CryptoTable[[#This Row],[circulating_supply]]</f>
        <v>6.9110599741096276E-4</v>
      </c>
      <c r="J194" s="3">
        <f>RANK(CryptoTable[[#This Row],[market_cap]],CryptoTable[market_cap],0)</f>
        <v>193</v>
      </c>
      <c r="K194" s="3" t="str">
        <f t="shared" ref="K194:K201" si="46">IF(C194&lt;=0.5,"0-0.5",
IF(C194&lt;=1,"0.5-1",
IF(C194&lt;=2,"1-2",
IF(C194&lt;=10,"2-10",
IF(C194&lt;=100,"10-100",
IF(C194&lt;=10000,"100-10000","10000+"))))))</f>
        <v>0-0.5</v>
      </c>
      <c r="L194" s="3">
        <f t="shared" ref="L194:L201" si="47">C194/(1+D194/100)</f>
        <v>1.6362428829404346E-2</v>
      </c>
      <c r="M194" s="3">
        <f>C194-CryptoTable[[#This Row],[Previous_Price]]</f>
        <v>-2.0445955850176625E-4</v>
      </c>
      <c r="N194" s="3" t="str">
        <f t="shared" ref="N194:N201" si="48">IF(C194&gt;=10,"&gt;=10","&lt;10")</f>
        <v>&lt;10</v>
      </c>
      <c r="O194" s="3" t="str">
        <f t="shared" ref="O194:O201" si="49">IF(C194&lt;=50,"0-50","&gt;50")</f>
        <v>0-50</v>
      </c>
      <c r="P194" s="3" t="str">
        <f t="shared" ref="P194:P201" si="50">IF(J194&lt;=5,A194,"Others")</f>
        <v>Others</v>
      </c>
      <c r="Q194" s="3" t="str">
        <f t="shared" ref="Q194:Q201" si="51">IF(OR(
LEFT(A194,1)="A",
LEFT(A194,1)="E",
LEFT(A194,1)="I",
LEFT(A194,1)="O",
LEFT(A194,1)="U",
LEFT(A194,1)="B",
LEFT(A194,1)="C",
LEFT(A194,1)="D"
),
"Yes","No")</f>
        <v>No</v>
      </c>
      <c r="R194" s="3" t="str">
        <f t="shared" ref="R194:R201" si="52">IF(B194&lt;=0.05,"0 - 0.05",
IF(B194&lt;=0.5,"0.05 - 0.5",
IF(B194&lt;=5,"0.5 - 5",
IF(B194&lt;=50,"5 - 50",
"&gt; 50"))))</f>
        <v>&gt; 50</v>
      </c>
      <c r="S194" s="3">
        <f t="shared" ref="S194:S201" si="53">AVERAGE(D194,F194,H194)</f>
        <v>2442649111.9742751</v>
      </c>
    </row>
    <row r="195" spans="1:19" x14ac:dyDescent="0.35">
      <c r="A195" s="3" t="s">
        <v>381</v>
      </c>
      <c r="B195" s="3" t="s">
        <v>382</v>
      </c>
      <c r="C195" s="3">
        <v>1.7702006625987792</v>
      </c>
      <c r="D195" s="3">
        <v>-0.14944695999999999</v>
      </c>
      <c r="E195" s="3">
        <v>-6.4777158000000004</v>
      </c>
      <c r="F195" s="3">
        <v>115049467.40003918</v>
      </c>
      <c r="G195" s="3">
        <v>5479251.5821716404</v>
      </c>
      <c r="H195" s="3">
        <v>64992331</v>
      </c>
      <c r="I195" s="3">
        <f>CryptoTable[[#This Row],[volume_24h]]/CryptoTable[[#This Row],[circulating_supply]]</f>
        <v>8.430612501299023E-2</v>
      </c>
      <c r="J195" s="3">
        <f>RANK(CryptoTable[[#This Row],[market_cap]],CryptoTable[market_cap],0)</f>
        <v>194</v>
      </c>
      <c r="K195" s="3" t="str">
        <f t="shared" si="46"/>
        <v>1-2</v>
      </c>
      <c r="L195" s="3">
        <f t="shared" si="47"/>
        <v>1.7728501332282447</v>
      </c>
      <c r="M195" s="3">
        <f>C195-CryptoTable[[#This Row],[Previous_Price]]</f>
        <v>-2.6494706294655224E-3</v>
      </c>
      <c r="N195" s="3" t="str">
        <f t="shared" si="48"/>
        <v>&lt;10</v>
      </c>
      <c r="O195" s="3" t="str">
        <f t="shared" si="49"/>
        <v>0-50</v>
      </c>
      <c r="P195" s="3" t="str">
        <f t="shared" si="50"/>
        <v>Others</v>
      </c>
      <c r="Q195" s="3" t="str">
        <f t="shared" si="51"/>
        <v>No</v>
      </c>
      <c r="R195" s="3" t="str">
        <f t="shared" si="52"/>
        <v>&gt; 50</v>
      </c>
      <c r="S195" s="3">
        <f t="shared" si="53"/>
        <v>60013932.750197411</v>
      </c>
    </row>
    <row r="196" spans="1:19" x14ac:dyDescent="0.35">
      <c r="A196" s="3" t="s">
        <v>383</v>
      </c>
      <c r="B196" s="3" t="s">
        <v>384</v>
      </c>
      <c r="C196" s="3">
        <v>1.1602094643592986E-2</v>
      </c>
      <c r="D196" s="3">
        <v>-0.94340526000000002</v>
      </c>
      <c r="E196" s="3">
        <v>-9.3502525100000007</v>
      </c>
      <c r="F196" s="3">
        <v>114979500.59516977</v>
      </c>
      <c r="G196" s="3">
        <v>18822511.300319251</v>
      </c>
      <c r="H196" s="3">
        <v>9910236395</v>
      </c>
      <c r="I196" s="3">
        <f>CryptoTable[[#This Row],[volume_24h]]/CryptoTable[[#This Row],[circulating_supply]]</f>
        <v>1.8992999309093929E-3</v>
      </c>
      <c r="J196" s="3">
        <f>RANK(CryptoTable[[#This Row],[market_cap]],CryptoTable[market_cap],0)</f>
        <v>195</v>
      </c>
      <c r="K196" s="3" t="str">
        <f t="shared" si="46"/>
        <v>0-0.5</v>
      </c>
      <c r="L196" s="3">
        <f t="shared" si="47"/>
        <v>1.1712591851199534E-2</v>
      </c>
      <c r="M196" s="3">
        <f>C196-CryptoTable[[#This Row],[Previous_Price]]</f>
        <v>-1.104972076065476E-4</v>
      </c>
      <c r="N196" s="3" t="str">
        <f t="shared" si="48"/>
        <v>&lt;10</v>
      </c>
      <c r="O196" s="3" t="str">
        <f t="shared" si="49"/>
        <v>0-50</v>
      </c>
      <c r="P196" s="3" t="str">
        <f t="shared" si="50"/>
        <v>Others</v>
      </c>
      <c r="Q196" s="3" t="str">
        <f t="shared" si="51"/>
        <v>Yes</v>
      </c>
      <c r="R196" s="3" t="str">
        <f t="shared" si="52"/>
        <v>&gt; 50</v>
      </c>
      <c r="S196" s="3">
        <f t="shared" si="53"/>
        <v>3341738631.5505881</v>
      </c>
    </row>
    <row r="197" spans="1:19" x14ac:dyDescent="0.35">
      <c r="A197" s="3" t="s">
        <v>385</v>
      </c>
      <c r="B197" s="3" t="s">
        <v>386</v>
      </c>
      <c r="C197" s="3">
        <v>0.17093832063050074</v>
      </c>
      <c r="D197" s="3">
        <v>-1.36751782</v>
      </c>
      <c r="E197" s="3">
        <v>-2.9518106300000002</v>
      </c>
      <c r="F197" s="3">
        <v>112981917.37716705</v>
      </c>
      <c r="G197" s="3">
        <v>15481667.269261681</v>
      </c>
      <c r="H197" s="3">
        <v>660951371</v>
      </c>
      <c r="I197" s="3">
        <f>CryptoTable[[#This Row],[volume_24h]]/CryptoTable[[#This Row],[circulating_supply]]</f>
        <v>2.342330759650044E-2</v>
      </c>
      <c r="J197" s="3">
        <f>RANK(CryptoTable[[#This Row],[market_cap]],CryptoTable[market_cap],0)</f>
        <v>196</v>
      </c>
      <c r="K197" s="3" t="str">
        <f t="shared" si="46"/>
        <v>0-0.5</v>
      </c>
      <c r="L197" s="3">
        <f t="shared" si="47"/>
        <v>0.17330834310602233</v>
      </c>
      <c r="M197" s="3">
        <f>C197-CryptoTable[[#This Row],[Previous_Price]]</f>
        <v>-2.3700224755215937E-3</v>
      </c>
      <c r="N197" s="3" t="str">
        <f t="shared" si="48"/>
        <v>&lt;10</v>
      </c>
      <c r="O197" s="3" t="str">
        <f t="shared" si="49"/>
        <v>0-50</v>
      </c>
      <c r="P197" s="3" t="str">
        <f t="shared" si="50"/>
        <v>Others</v>
      </c>
      <c r="Q197" s="3" t="str">
        <f t="shared" si="51"/>
        <v>No</v>
      </c>
      <c r="R197" s="3" t="str">
        <f t="shared" si="52"/>
        <v>&gt; 50</v>
      </c>
      <c r="S197" s="3">
        <f t="shared" si="53"/>
        <v>257977762.33654976</v>
      </c>
    </row>
    <row r="198" spans="1:19" x14ac:dyDescent="0.35">
      <c r="A198" s="3" t="s">
        <v>387</v>
      </c>
      <c r="B198" s="3" t="s">
        <v>388</v>
      </c>
      <c r="C198" s="3">
        <v>0.29331756723759655</v>
      </c>
      <c r="D198" s="3">
        <v>0.25048649000000001</v>
      </c>
      <c r="E198" s="3">
        <v>-3.7452453399999999</v>
      </c>
      <c r="F198" s="3">
        <v>112008374.28670502</v>
      </c>
      <c r="G198" s="3">
        <v>9227088.8387724701</v>
      </c>
      <c r="H198" s="3">
        <v>381867255.14457399</v>
      </c>
      <c r="I198" s="3">
        <f>CryptoTable[[#This Row],[volume_24h]]/CryptoTable[[#This Row],[circulating_supply]]</f>
        <v>2.4163079484987832E-2</v>
      </c>
      <c r="J198" s="3">
        <f>RANK(CryptoTable[[#This Row],[market_cap]],CryptoTable[market_cap],0)</f>
        <v>197</v>
      </c>
      <c r="K198" s="3" t="str">
        <f t="shared" si="46"/>
        <v>0-0.5</v>
      </c>
      <c r="L198" s="3">
        <f t="shared" si="47"/>
        <v>0.29258468213703387</v>
      </c>
      <c r="M198" s="3">
        <f>C198-CryptoTable[[#This Row],[Previous_Price]]</f>
        <v>7.3288510056268574E-4</v>
      </c>
      <c r="N198" s="3" t="str">
        <f t="shared" si="48"/>
        <v>&lt;10</v>
      </c>
      <c r="O198" s="3" t="str">
        <f t="shared" si="49"/>
        <v>0-50</v>
      </c>
      <c r="P198" s="3" t="str">
        <f t="shared" si="50"/>
        <v>Others</v>
      </c>
      <c r="Q198" s="3" t="str">
        <f t="shared" si="51"/>
        <v>No</v>
      </c>
      <c r="R198" s="3" t="str">
        <f t="shared" si="52"/>
        <v>&gt; 50</v>
      </c>
      <c r="S198" s="3">
        <f t="shared" si="53"/>
        <v>164625209.89392182</v>
      </c>
    </row>
    <row r="199" spans="1:19" x14ac:dyDescent="0.35">
      <c r="A199" s="3" t="s">
        <v>389</v>
      </c>
      <c r="B199" s="3" t="s">
        <v>390</v>
      </c>
      <c r="C199" s="3">
        <v>3123.3166078564905</v>
      </c>
      <c r="D199" s="3">
        <v>-0.48997120999999999</v>
      </c>
      <c r="E199" s="3">
        <v>-3.1034433300000002</v>
      </c>
      <c r="F199" s="3">
        <v>109603394.95403764</v>
      </c>
      <c r="G199" s="3">
        <v>23381110.689405959</v>
      </c>
      <c r="H199" s="3">
        <v>35091.989930939999</v>
      </c>
      <c r="I199" s="3">
        <f>CryptoTable[[#This Row],[volume_24h]]/CryptoTable[[#This Row],[circulating_supply]]</f>
        <v>666.28055962113558</v>
      </c>
      <c r="J199" s="3">
        <f>RANK(CryptoTable[[#This Row],[market_cap]],CryptoTable[market_cap],0)</f>
        <v>198</v>
      </c>
      <c r="K199" s="3" t="str">
        <f t="shared" si="46"/>
        <v>100-10000</v>
      </c>
      <c r="L199" s="3">
        <f t="shared" si="47"/>
        <v>3138.6953112512415</v>
      </c>
      <c r="M199" s="3">
        <f>C199-CryptoTable[[#This Row],[Previous_Price]]</f>
        <v>-15.378703394751028</v>
      </c>
      <c r="N199" s="3" t="str">
        <f t="shared" si="48"/>
        <v>&gt;=10</v>
      </c>
      <c r="O199" s="3" t="str">
        <f t="shared" si="49"/>
        <v>&gt;50</v>
      </c>
      <c r="P199" s="3" t="str">
        <f t="shared" si="50"/>
        <v>Others</v>
      </c>
      <c r="Q199" s="3" t="str">
        <f t="shared" si="51"/>
        <v>No</v>
      </c>
      <c r="R199" s="3" t="str">
        <f t="shared" si="52"/>
        <v>&gt; 50</v>
      </c>
      <c r="S199" s="3">
        <f t="shared" si="53"/>
        <v>36546162.15133246</v>
      </c>
    </row>
    <row r="200" spans="1:19" x14ac:dyDescent="0.35">
      <c r="A200" s="3" t="s">
        <v>391</v>
      </c>
      <c r="B200" s="3" t="s">
        <v>392</v>
      </c>
      <c r="C200" s="3">
        <v>6.0570076717135777</v>
      </c>
      <c r="D200" s="3">
        <v>-1.0925282700000001</v>
      </c>
      <c r="E200" s="3">
        <v>-8.4816053</v>
      </c>
      <c r="F200" s="3">
        <v>107171736.34597132</v>
      </c>
      <c r="G200" s="3">
        <v>11399420.827109659</v>
      </c>
      <c r="H200" s="3">
        <v>17693841.935592521</v>
      </c>
      <c r="I200" s="3">
        <f>CryptoTable[[#This Row],[volume_24h]]/CryptoTable[[#This Row],[circulating_supply]]</f>
        <v>0.6442592212931918</v>
      </c>
      <c r="J200" s="3">
        <f>RANK(CryptoTable[[#This Row],[market_cap]],CryptoTable[market_cap],0)</f>
        <v>199</v>
      </c>
      <c r="K200" s="3" t="str">
        <f t="shared" si="46"/>
        <v>2-10</v>
      </c>
      <c r="L200" s="3">
        <f t="shared" si="47"/>
        <v>6.1239131541529472</v>
      </c>
      <c r="M200" s="3">
        <f>C200-CryptoTable[[#This Row],[Previous_Price]]</f>
        <v>-6.6905482439369557E-2</v>
      </c>
      <c r="N200" s="3" t="str">
        <f t="shared" si="48"/>
        <v>&lt;10</v>
      </c>
      <c r="O200" s="3" t="str">
        <f t="shared" si="49"/>
        <v>0-50</v>
      </c>
      <c r="P200" s="3" t="str">
        <f t="shared" si="50"/>
        <v>Others</v>
      </c>
      <c r="Q200" s="3" t="str">
        <f t="shared" si="51"/>
        <v>No</v>
      </c>
      <c r="R200" s="3" t="str">
        <f t="shared" si="52"/>
        <v>&gt; 50</v>
      </c>
      <c r="S200" s="3">
        <f t="shared" si="53"/>
        <v>41621859.063011855</v>
      </c>
    </row>
    <row r="201" spans="1:19" x14ac:dyDescent="0.35">
      <c r="A201" s="3" t="s">
        <v>393</v>
      </c>
      <c r="B201" s="3" t="s">
        <v>394</v>
      </c>
      <c r="C201" s="3">
        <v>0.20971938966285206</v>
      </c>
      <c r="D201" s="3">
        <v>-0.76592079000000002</v>
      </c>
      <c r="E201" s="3">
        <v>-9.1435571800000002</v>
      </c>
      <c r="F201" s="3">
        <v>107063390.73542643</v>
      </c>
      <c r="G201" s="3">
        <v>10749146.133387189</v>
      </c>
      <c r="H201" s="3">
        <v>510507831</v>
      </c>
      <c r="I201" s="3">
        <f>CryptoTable[[#This Row],[volume_24h]]/CryptoTable[[#This Row],[circulating_supply]]</f>
        <v>2.1055790882446208E-2</v>
      </c>
      <c r="J201" s="3">
        <f>RANK(CryptoTable[[#This Row],[market_cap]],CryptoTable[market_cap],0)</f>
        <v>200</v>
      </c>
      <c r="K201" s="3" t="str">
        <f t="shared" si="46"/>
        <v>0-0.5</v>
      </c>
      <c r="L201" s="3">
        <f t="shared" si="47"/>
        <v>0.2113380718926631</v>
      </c>
      <c r="M201" s="3">
        <f>C201-CryptoTable[[#This Row],[Previous_Price]]</f>
        <v>-1.6186822298110415E-3</v>
      </c>
      <c r="N201" s="3" t="str">
        <f t="shared" si="48"/>
        <v>&lt;10</v>
      </c>
      <c r="O201" s="3" t="str">
        <f t="shared" si="49"/>
        <v>0-50</v>
      </c>
      <c r="P201" s="3" t="str">
        <f t="shared" si="50"/>
        <v>Others</v>
      </c>
      <c r="Q201" s="3" t="str">
        <f t="shared" si="51"/>
        <v>Yes</v>
      </c>
      <c r="R201" s="3" t="str">
        <f t="shared" si="52"/>
        <v>&gt; 50</v>
      </c>
      <c r="S201" s="3">
        <f t="shared" si="53"/>
        <v>205857073.65650189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201"/>
  <sheetViews>
    <sheetView workbookViewId="0">
      <selection activeCell="J1" sqref="J1"/>
    </sheetView>
  </sheetViews>
  <sheetFormatPr defaultRowHeight="14.5" x14ac:dyDescent="0.35"/>
  <cols>
    <col min="1" max="1" width="25.26953125" customWidth="1"/>
    <col min="2" max="2" width="11" customWidth="1"/>
    <col min="3" max="3" width="13.90625" customWidth="1"/>
    <col min="4" max="4" width="11.08984375" customWidth="1"/>
    <col min="5" max="5" width="12.36328125" customWidth="1"/>
    <col min="6" max="6" width="15.36328125" customWidth="1"/>
    <col min="7" max="7" width="16.54296875" customWidth="1"/>
    <col min="8" max="8" width="15.36328125" customWidth="1"/>
    <col min="9" max="9" width="13.36328125" customWidth="1"/>
    <col min="10" max="10" width="11.54296875" customWidth="1"/>
    <col min="11" max="11" width="13.453125" customWidth="1"/>
  </cols>
  <sheetData>
    <row r="1" spans="1:11" x14ac:dyDescent="0.35">
      <c r="A1" s="16" t="s">
        <v>412</v>
      </c>
      <c r="B1" s="16" t="s">
        <v>413</v>
      </c>
      <c r="C1" s="16" t="s">
        <v>414</v>
      </c>
      <c r="D1" s="16" t="s">
        <v>415</v>
      </c>
      <c r="E1" s="16" t="s">
        <v>416</v>
      </c>
      <c r="F1" s="16" t="s">
        <v>427</v>
      </c>
      <c r="G1" s="16" t="s">
        <v>428</v>
      </c>
      <c r="H1" s="16" t="s">
        <v>429</v>
      </c>
      <c r="I1" s="16" t="s">
        <v>430</v>
      </c>
      <c r="J1" s="22" t="s">
        <v>441</v>
      </c>
      <c r="K1" s="22" t="s">
        <v>440</v>
      </c>
    </row>
    <row r="2" spans="1:11" x14ac:dyDescent="0.35">
      <c r="A2" t="s">
        <v>8</v>
      </c>
      <c r="B2">
        <v>66499.268564841186</v>
      </c>
      <c r="C2">
        <v>-0.45080324999999999</v>
      </c>
      <c r="D2">
        <v>-3.5676080099999998</v>
      </c>
      <c r="E2">
        <v>-12.718414859999999</v>
      </c>
      <c r="F2">
        <f t="shared" ref="F2:F33" si="0">B2/(1+C2/100)</f>
        <v>66800.406970477328</v>
      </c>
      <c r="G2">
        <f t="shared" ref="G2:G33" si="1">B2/(1-D2/100)</f>
        <v>64208.558875300405</v>
      </c>
      <c r="H2">
        <f>Table2[[#This Row],[Price]]/(1+Table2[[#This Row],[7d]]/100)</f>
        <v>76189.345619899206</v>
      </c>
      <c r="I2" s="6" t="str">
        <f t="shared" ref="I2:I33" si="2">IF(AND(B2&gt;=0,B2&lt;=5),"0-5 USD","Above 5 USD")</f>
        <v>Above 5 USD</v>
      </c>
      <c r="J2" s="6" t="str">
        <f t="shared" ref="J2:J33" si="3">IF(B2&lt;=0.05,"0 - 0.05",
IF(B2&lt;=0.5,"0.05 - 0.5",
IF(B2&lt;=5,"0.5 - 5",
IF(B2&lt;=50,"5 - 50",
"&gt; 50"))))</f>
        <v>&gt; 50</v>
      </c>
      <c r="K2" s="6">
        <f t="shared" ref="K2:K33" si="4">AVERAGE(C2,D2,E2)</f>
        <v>-5.5789420400000003</v>
      </c>
    </row>
    <row r="3" spans="1:11" x14ac:dyDescent="0.35">
      <c r="A3" t="s">
        <v>10</v>
      </c>
      <c r="B3">
        <v>1936.958182351729</v>
      </c>
      <c r="C3">
        <v>-0.44383307999999999</v>
      </c>
      <c r="D3">
        <v>-3.8927622300000002</v>
      </c>
      <c r="E3">
        <v>-14.22134799</v>
      </c>
      <c r="F3">
        <f t="shared" si="0"/>
        <v>1945.5933693270892</v>
      </c>
      <c r="G3">
        <f t="shared" si="1"/>
        <v>1864.3822156385158</v>
      </c>
      <c r="H3">
        <f>Table2[[#This Row],[Price]]/(1+Table2[[#This Row],[7d]]/100)</f>
        <v>2258.0888565676223</v>
      </c>
      <c r="I3" s="6" t="str">
        <f t="shared" si="2"/>
        <v>Above 5 USD</v>
      </c>
      <c r="J3" s="6" t="str">
        <f t="shared" si="3"/>
        <v>&gt; 50</v>
      </c>
      <c r="K3" s="6">
        <f t="shared" si="4"/>
        <v>-6.1859810999999993</v>
      </c>
    </row>
    <row r="4" spans="1:11" x14ac:dyDescent="0.35">
      <c r="A4" t="s">
        <v>12</v>
      </c>
      <c r="B4">
        <v>0.9994086688466971</v>
      </c>
      <c r="C4">
        <v>-2.12981E-2</v>
      </c>
      <c r="D4">
        <v>1.5663529999999998E-2</v>
      </c>
      <c r="E4">
        <v>9.7551769999999996E-2</v>
      </c>
      <c r="F4">
        <f t="shared" si="0"/>
        <v>0.99962156924813717</v>
      </c>
      <c r="G4">
        <f t="shared" si="1"/>
        <v>0.99956523604731495</v>
      </c>
      <c r="H4">
        <f>Table2[[#This Row],[Price]]/(1+Table2[[#This Row],[7d]]/100)</f>
        <v>0.99843467814587206</v>
      </c>
      <c r="I4" s="6" t="str">
        <f t="shared" si="2"/>
        <v>0-5 USD</v>
      </c>
      <c r="J4" s="6" t="str">
        <f t="shared" si="3"/>
        <v>0.5 - 5</v>
      </c>
      <c r="K4" s="6">
        <f t="shared" si="4"/>
        <v>3.0639066666666662E-2</v>
      </c>
    </row>
    <row r="5" spans="1:11" x14ac:dyDescent="0.35">
      <c r="A5" t="s">
        <v>15</v>
      </c>
      <c r="B5">
        <v>1.358570198793271</v>
      </c>
      <c r="C5">
        <v>-7.5292209999999998E-2</v>
      </c>
      <c r="D5">
        <v>-4.0349327500000003</v>
      </c>
      <c r="E5">
        <v>-14.78158925</v>
      </c>
      <c r="F5">
        <f t="shared" si="0"/>
        <v>1.3595938670628072</v>
      </c>
      <c r="G5">
        <f t="shared" si="1"/>
        <v>1.3058788648020452</v>
      </c>
      <c r="H5">
        <f>Table2[[#This Row],[Price]]/(1+Table2[[#This Row],[7d]]/100)</f>
        <v>1.5942214679159232</v>
      </c>
      <c r="I5" s="6" t="str">
        <f t="shared" si="2"/>
        <v>0-5 USD</v>
      </c>
      <c r="J5" s="6" t="str">
        <f t="shared" si="3"/>
        <v>0.5 - 5</v>
      </c>
      <c r="K5" s="6">
        <f t="shared" si="4"/>
        <v>-6.2972714033333332</v>
      </c>
    </row>
    <row r="6" spans="1:11" x14ac:dyDescent="0.35">
      <c r="A6" t="s">
        <v>14</v>
      </c>
      <c r="B6">
        <v>587.92844764635618</v>
      </c>
      <c r="C6">
        <v>-0.86331959000000003</v>
      </c>
      <c r="D6">
        <v>-6.2486194599999996</v>
      </c>
      <c r="E6">
        <v>-22.129676809999999</v>
      </c>
      <c r="F6">
        <f t="shared" si="0"/>
        <v>593.04835023208159</v>
      </c>
      <c r="G6">
        <f t="shared" si="1"/>
        <v>553.35161118747226</v>
      </c>
      <c r="H6">
        <f>Table2[[#This Row],[Price]]/(1+Table2[[#This Row],[7d]]/100)</f>
        <v>755.00964110786833</v>
      </c>
      <c r="I6" s="6" t="str">
        <f t="shared" si="2"/>
        <v>Above 5 USD</v>
      </c>
      <c r="J6" s="6" t="str">
        <f t="shared" si="3"/>
        <v>&gt; 50</v>
      </c>
      <c r="K6" s="6">
        <f t="shared" si="4"/>
        <v>-9.7472052866666665</v>
      </c>
    </row>
    <row r="7" spans="1:11" x14ac:dyDescent="0.35">
      <c r="A7" t="s">
        <v>16</v>
      </c>
      <c r="B7">
        <v>0.99986682137043115</v>
      </c>
      <c r="C7">
        <v>-1.5459870000000001E-2</v>
      </c>
      <c r="D7">
        <v>-1.706943E-2</v>
      </c>
      <c r="E7">
        <v>2.6302140000000002E-2</v>
      </c>
      <c r="F7">
        <f t="shared" si="0"/>
        <v>1.0000214233824583</v>
      </c>
      <c r="G7">
        <f t="shared" si="1"/>
        <v>0.99969617893095586</v>
      </c>
      <c r="H7">
        <f>Table2[[#This Row],[Price]]/(1+Table2[[#This Row],[7d]]/100)</f>
        <v>0.99960390415211564</v>
      </c>
      <c r="I7" s="6" t="str">
        <f t="shared" si="2"/>
        <v>0-5 USD</v>
      </c>
      <c r="J7" s="6" t="str">
        <f t="shared" si="3"/>
        <v>0.5 - 5</v>
      </c>
      <c r="K7" s="6">
        <f t="shared" si="4"/>
        <v>-2.0757199999999983E-3</v>
      </c>
    </row>
    <row r="8" spans="1:11" x14ac:dyDescent="0.35">
      <c r="A8" t="s">
        <v>17</v>
      </c>
      <c r="B8">
        <v>80.504401936974631</v>
      </c>
      <c r="C8">
        <v>-0.29090812999999999</v>
      </c>
      <c r="D8">
        <v>-4.3990456199999999</v>
      </c>
      <c r="E8">
        <v>-16.939665210000001</v>
      </c>
      <c r="F8">
        <f t="shared" si="0"/>
        <v>80.739279063874832</v>
      </c>
      <c r="G8">
        <f t="shared" si="1"/>
        <v>77.112201034864825</v>
      </c>
      <c r="H8">
        <f>Table2[[#This Row],[Price]]/(1+Table2[[#This Row],[7d]]/100)</f>
        <v>96.922799722048453</v>
      </c>
      <c r="I8" s="6" t="str">
        <f t="shared" si="2"/>
        <v>Above 5 USD</v>
      </c>
      <c r="J8" s="6" t="str">
        <f t="shared" si="3"/>
        <v>&gt; 50</v>
      </c>
      <c r="K8" s="6">
        <f t="shared" si="4"/>
        <v>-7.2098729866666673</v>
      </c>
    </row>
    <row r="9" spans="1:11" x14ac:dyDescent="0.35">
      <c r="A9" t="s">
        <v>19</v>
      </c>
      <c r="B9">
        <v>0.27397115070146361</v>
      </c>
      <c r="C9">
        <v>-2.7737850000000001E-2</v>
      </c>
      <c r="D9">
        <v>-0.85968621000000001</v>
      </c>
      <c r="E9">
        <v>-4.5418117599999999</v>
      </c>
      <c r="F9">
        <f t="shared" si="0"/>
        <v>0.27404716549315733</v>
      </c>
      <c r="G9">
        <f t="shared" si="1"/>
        <v>0.27163593403515862</v>
      </c>
      <c r="H9">
        <f>Table2[[#This Row],[Price]]/(1+Table2[[#This Row],[7d]]/100)</f>
        <v>0.28700644308547751</v>
      </c>
      <c r="I9" s="6" t="str">
        <f t="shared" si="2"/>
        <v>0-5 USD</v>
      </c>
      <c r="J9" s="6" t="str">
        <f t="shared" si="3"/>
        <v>0.05 - 0.5</v>
      </c>
      <c r="K9" s="6">
        <f t="shared" si="4"/>
        <v>-1.8097452733333332</v>
      </c>
    </row>
    <row r="10" spans="1:11" x14ac:dyDescent="0.35">
      <c r="A10" t="s">
        <v>21</v>
      </c>
      <c r="B10">
        <v>8.9482960479119383E-2</v>
      </c>
      <c r="C10">
        <v>-0.66481016999999998</v>
      </c>
      <c r="D10">
        <v>-4.0522871399999998</v>
      </c>
      <c r="E10">
        <v>-16.844826309999998</v>
      </c>
      <c r="F10">
        <f t="shared" si="0"/>
        <v>9.0081833670684577E-2</v>
      </c>
      <c r="G10">
        <f t="shared" si="1"/>
        <v>8.5998071679791219E-2</v>
      </c>
      <c r="H10">
        <f>Table2[[#This Row],[Price]]/(1+Table2[[#This Row],[7d]]/100)</f>
        <v>0.10760961285789526</v>
      </c>
      <c r="I10" s="6" t="str">
        <f t="shared" si="2"/>
        <v>0-5 USD</v>
      </c>
      <c r="J10" s="6" t="str">
        <f t="shared" si="3"/>
        <v>0.05 - 0.5</v>
      </c>
      <c r="K10" s="6">
        <f t="shared" si="4"/>
        <v>-7.1873078733333324</v>
      </c>
    </row>
    <row r="11" spans="1:11" x14ac:dyDescent="0.35">
      <c r="A11" t="s">
        <v>25</v>
      </c>
      <c r="B11">
        <v>508.82577622080339</v>
      </c>
      <c r="C11">
        <v>-0.88126950000000004</v>
      </c>
      <c r="D11">
        <v>-3.3397695700000001</v>
      </c>
      <c r="E11">
        <v>-3.2125493199999999</v>
      </c>
      <c r="F11">
        <f t="shared" si="0"/>
        <v>513.34977118255506</v>
      </c>
      <c r="G11">
        <f t="shared" si="1"/>
        <v>492.38137295839084</v>
      </c>
      <c r="H11">
        <f>Table2[[#This Row],[Price]]/(1+Table2[[#This Row],[7d]]/100)</f>
        <v>525.71461759344209</v>
      </c>
      <c r="I11" s="6" t="str">
        <f t="shared" si="2"/>
        <v>Above 5 USD</v>
      </c>
      <c r="J11" s="6" t="str">
        <f t="shared" si="3"/>
        <v>&gt; 50</v>
      </c>
      <c r="K11" s="6">
        <f t="shared" si="4"/>
        <v>-2.4778627966666664</v>
      </c>
    </row>
    <row r="12" spans="1:11" x14ac:dyDescent="0.35">
      <c r="A12" t="s">
        <v>23</v>
      </c>
      <c r="B12">
        <v>0.25262911344086381</v>
      </c>
      <c r="C12">
        <v>-0.49584078999999998</v>
      </c>
      <c r="D12">
        <v>-4.17324597</v>
      </c>
      <c r="E12">
        <v>-15.615207310000001</v>
      </c>
      <c r="F12">
        <f t="shared" si="0"/>
        <v>0.25388799367441417</v>
      </c>
      <c r="G12">
        <f t="shared" si="1"/>
        <v>0.24250863173987725</v>
      </c>
      <c r="H12">
        <f>Table2[[#This Row],[Price]]/(1+Table2[[#This Row],[7d]]/100)</f>
        <v>0.29937753638731351</v>
      </c>
      <c r="I12" s="6" t="str">
        <f t="shared" si="2"/>
        <v>0-5 USD</v>
      </c>
      <c r="J12" s="6" t="str">
        <f t="shared" si="3"/>
        <v>0.05 - 0.5</v>
      </c>
      <c r="K12" s="6">
        <f t="shared" si="4"/>
        <v>-6.7614313566666668</v>
      </c>
    </row>
    <row r="13" spans="1:11" x14ac:dyDescent="0.35">
      <c r="A13" t="s">
        <v>29</v>
      </c>
      <c r="B13">
        <v>8.3221882201059216</v>
      </c>
      <c r="C13">
        <v>-5.774982E-2</v>
      </c>
      <c r="D13">
        <v>-3.2042775699999999</v>
      </c>
      <c r="E13">
        <v>-5.7955352199999997</v>
      </c>
      <c r="F13">
        <f t="shared" si="0"/>
        <v>8.3269970459113409</v>
      </c>
      <c r="G13">
        <f t="shared" si="1"/>
        <v>8.0638016330876034</v>
      </c>
      <c r="H13">
        <f>Table2[[#This Row],[Price]]/(1+Table2[[#This Row],[7d]]/100)</f>
        <v>8.8341760016800794</v>
      </c>
      <c r="I13" s="6" t="str">
        <f t="shared" si="2"/>
        <v>Above 5 USD</v>
      </c>
      <c r="J13" s="6" t="str">
        <f t="shared" si="3"/>
        <v>5 - 50</v>
      </c>
      <c r="K13" s="6">
        <f t="shared" si="4"/>
        <v>-3.0191875366666667</v>
      </c>
    </row>
    <row r="14" spans="1:11" x14ac:dyDescent="0.35">
      <c r="A14" t="s">
        <v>27</v>
      </c>
      <c r="B14">
        <v>28.492017441869731</v>
      </c>
      <c r="C14">
        <v>-0.25439679999999998</v>
      </c>
      <c r="D14">
        <v>-3.7300885799999999</v>
      </c>
      <c r="E14">
        <v>-14.067279409999999</v>
      </c>
      <c r="F14">
        <f t="shared" si="0"/>
        <v>28.564685086660273</v>
      </c>
      <c r="G14">
        <f t="shared" si="1"/>
        <v>27.467456966351445</v>
      </c>
      <c r="H14">
        <f>Table2[[#This Row],[Price]]/(1+Table2[[#This Row],[7d]]/100)</f>
        <v>33.15619154874674</v>
      </c>
      <c r="I14" s="6" t="str">
        <f t="shared" si="2"/>
        <v>Above 5 USD</v>
      </c>
      <c r="J14" s="6" t="str">
        <f t="shared" si="3"/>
        <v>5 - 50</v>
      </c>
      <c r="K14" s="6">
        <f t="shared" si="4"/>
        <v>-6.01725493</v>
      </c>
    </row>
    <row r="15" spans="1:11" x14ac:dyDescent="0.35">
      <c r="A15" t="s">
        <v>35</v>
      </c>
      <c r="B15">
        <v>0.99888248765466681</v>
      </c>
      <c r="C15">
        <v>3.15475E-3</v>
      </c>
      <c r="D15">
        <v>4.5359940000000001E-2</v>
      </c>
      <c r="E15">
        <v>6.92575E-2</v>
      </c>
      <c r="F15">
        <f t="shared" si="0"/>
        <v>0.99885097640348885</v>
      </c>
      <c r="G15">
        <f t="shared" si="1"/>
        <v>0.99933578576748949</v>
      </c>
      <c r="H15">
        <f>Table2[[#This Row],[Price]]/(1+Table2[[#This Row],[7d]]/100)</f>
        <v>0.99819116540828423</v>
      </c>
      <c r="I15" s="6" t="str">
        <f t="shared" si="2"/>
        <v>0-5 USD</v>
      </c>
      <c r="J15" s="6" t="str">
        <f t="shared" si="3"/>
        <v>0.5 - 5</v>
      </c>
      <c r="K15" s="6">
        <f t="shared" si="4"/>
        <v>3.9257396666666666E-2</v>
      </c>
    </row>
    <row r="16" spans="1:11" x14ac:dyDescent="0.35">
      <c r="A16" t="s">
        <v>31</v>
      </c>
      <c r="B16">
        <v>343.70485371646612</v>
      </c>
      <c r="C16">
        <v>-0.60329538000000005</v>
      </c>
      <c r="D16">
        <v>2.5758598899999998</v>
      </c>
      <c r="E16">
        <v>-12.21718364</v>
      </c>
      <c r="F16">
        <f t="shared" si="0"/>
        <v>345.79099481262676</v>
      </c>
      <c r="G16">
        <f t="shared" si="1"/>
        <v>352.79228877811454</v>
      </c>
      <c r="H16">
        <f>Table2[[#This Row],[Price]]/(1+Table2[[#This Row],[7d]]/100)</f>
        <v>391.54001656420093</v>
      </c>
      <c r="I16" s="6" t="str">
        <f t="shared" si="2"/>
        <v>Above 5 USD</v>
      </c>
      <c r="J16" s="6" t="str">
        <f t="shared" si="3"/>
        <v>&gt; 50</v>
      </c>
      <c r="K16" s="6">
        <f t="shared" si="4"/>
        <v>-3.4148730433333334</v>
      </c>
    </row>
    <row r="17" spans="1:11" x14ac:dyDescent="0.35">
      <c r="A17" t="s">
        <v>37</v>
      </c>
      <c r="B17">
        <v>0.16257538326680859</v>
      </c>
      <c r="C17">
        <v>-0.57196519999999995</v>
      </c>
      <c r="D17">
        <v>-1.4029962499999999</v>
      </c>
      <c r="E17">
        <v>-9.3277018700000003</v>
      </c>
      <c r="F17">
        <f t="shared" si="0"/>
        <v>0.16351060703737111</v>
      </c>
      <c r="G17">
        <f t="shared" si="1"/>
        <v>0.16032601528459134</v>
      </c>
      <c r="H17">
        <f>Table2[[#This Row],[Price]]/(1+Table2[[#This Row],[7d]]/100)</f>
        <v>0.17929994785586958</v>
      </c>
      <c r="I17" s="6" t="str">
        <f t="shared" si="2"/>
        <v>0-5 USD</v>
      </c>
      <c r="J17" s="6" t="str">
        <f t="shared" si="3"/>
        <v>0.05 - 0.5</v>
      </c>
      <c r="K17" s="6">
        <f t="shared" si="4"/>
        <v>-3.7675544400000001</v>
      </c>
    </row>
    <row r="18" spans="1:11" x14ac:dyDescent="0.35">
      <c r="A18" t="s">
        <v>33</v>
      </c>
      <c r="B18">
        <v>8.2032824864486074</v>
      </c>
      <c r="C18">
        <v>-0.64938636999999999</v>
      </c>
      <c r="D18">
        <v>-3.9270785799999999</v>
      </c>
      <c r="E18">
        <v>-14.51618167</v>
      </c>
      <c r="F18">
        <f t="shared" si="0"/>
        <v>8.2569016805463775</v>
      </c>
      <c r="G18">
        <f t="shared" si="1"/>
        <v>7.8933061513260583</v>
      </c>
      <c r="H18">
        <f>Table2[[#This Row],[Price]]/(1+Table2[[#This Row],[7d]]/100)</f>
        <v>9.5962986290350543</v>
      </c>
      <c r="I18" s="6" t="str">
        <f t="shared" si="2"/>
        <v>Above 5 USD</v>
      </c>
      <c r="J18" s="6" t="str">
        <f t="shared" si="3"/>
        <v>5 - 50</v>
      </c>
      <c r="K18" s="6">
        <f t="shared" si="4"/>
        <v>-6.36421554</v>
      </c>
    </row>
    <row r="19" spans="1:11" x14ac:dyDescent="0.35">
      <c r="A19" t="s">
        <v>45</v>
      </c>
      <c r="B19">
        <v>0.99963762149510416</v>
      </c>
      <c r="C19">
        <v>1.888507E-2</v>
      </c>
      <c r="D19">
        <v>9.7048999999999996E-4</v>
      </c>
      <c r="E19">
        <v>-1.278983E-2</v>
      </c>
      <c r="F19">
        <f t="shared" si="0"/>
        <v>0.99944887487546963</v>
      </c>
      <c r="G19">
        <f t="shared" si="1"/>
        <v>0.99964732297240888</v>
      </c>
      <c r="H19">
        <f>Table2[[#This Row],[Price]]/(1+Table2[[#This Row],[7d]]/100)</f>
        <v>0.99976548980164848</v>
      </c>
      <c r="I19" s="6" t="str">
        <f t="shared" si="2"/>
        <v>0-5 USD</v>
      </c>
      <c r="J19" s="6" t="str">
        <f t="shared" si="3"/>
        <v>0.5 - 5</v>
      </c>
      <c r="K19" s="6">
        <f t="shared" si="4"/>
        <v>2.3552433333333335E-3</v>
      </c>
    </row>
    <row r="20" spans="1:11" x14ac:dyDescent="0.35">
      <c r="A20" t="s">
        <v>43</v>
      </c>
      <c r="B20">
        <v>0.9998513704589822</v>
      </c>
      <c r="C20">
        <v>-9.50843E-3</v>
      </c>
      <c r="D20">
        <v>1.1296469999999999E-2</v>
      </c>
      <c r="E20">
        <v>4.1902410000000001E-2</v>
      </c>
      <c r="F20">
        <f t="shared" si="0"/>
        <v>0.99994644966718638</v>
      </c>
      <c r="G20">
        <f t="shared" si="1"/>
        <v>0.99996433112965899</v>
      </c>
      <c r="H20">
        <f>Table2[[#This Row],[Price]]/(1+Table2[[#This Row],[7d]]/100)</f>
        <v>0.99943258411991076</v>
      </c>
      <c r="I20" s="6" t="str">
        <f t="shared" si="2"/>
        <v>0-5 USD</v>
      </c>
      <c r="J20" s="6" t="str">
        <f t="shared" si="3"/>
        <v>0.5 - 5</v>
      </c>
      <c r="K20" s="6">
        <f t="shared" si="4"/>
        <v>1.4563483333333333E-2</v>
      </c>
    </row>
    <row r="21" spans="1:11" x14ac:dyDescent="0.35">
      <c r="A21" t="s">
        <v>39</v>
      </c>
      <c r="B21">
        <v>0.1528205399569664</v>
      </c>
      <c r="C21">
        <v>-0.21237710000000001</v>
      </c>
      <c r="D21">
        <v>-2.3839488499999999</v>
      </c>
      <c r="E21">
        <v>-13.143520580000001</v>
      </c>
      <c r="F21">
        <f t="shared" si="0"/>
        <v>0.15314578653718627</v>
      </c>
      <c r="G21">
        <f t="shared" si="1"/>
        <v>0.14926220532952847</v>
      </c>
      <c r="H21">
        <f>Table2[[#This Row],[Price]]/(1+Table2[[#This Row],[7d]]/100)</f>
        <v>0.17594604452938165</v>
      </c>
      <c r="I21" s="6" t="str">
        <f t="shared" si="2"/>
        <v>0-5 USD</v>
      </c>
      <c r="J21" s="6" t="str">
        <f t="shared" si="3"/>
        <v>0.05 - 0.5</v>
      </c>
      <c r="K21" s="6">
        <f t="shared" si="4"/>
        <v>-5.2466155100000007</v>
      </c>
    </row>
    <row r="22" spans="1:11" x14ac:dyDescent="0.35">
      <c r="A22" t="s">
        <v>47</v>
      </c>
      <c r="B22">
        <v>51.682631779603042</v>
      </c>
      <c r="C22">
        <v>-0.72235875999999999</v>
      </c>
      <c r="D22">
        <v>-2.8591672400000001</v>
      </c>
      <c r="E22">
        <v>-14.20576679</v>
      </c>
      <c r="F22">
        <f t="shared" si="0"/>
        <v>52.058682231039519</v>
      </c>
      <c r="G22">
        <f t="shared" si="1"/>
        <v>50.246014202129999</v>
      </c>
      <c r="H22">
        <f>Table2[[#This Row],[Price]]/(1+Table2[[#This Row],[7d]]/100)</f>
        <v>60.240216441003192</v>
      </c>
      <c r="I22" s="6" t="str">
        <f t="shared" si="2"/>
        <v>Above 5 USD</v>
      </c>
      <c r="J22" s="6" t="str">
        <f t="shared" si="3"/>
        <v>&gt; 50</v>
      </c>
      <c r="K22" s="6">
        <f t="shared" si="4"/>
        <v>-5.9290975966666677</v>
      </c>
    </row>
    <row r="23" spans="1:11" x14ac:dyDescent="0.35">
      <c r="A23" t="s">
        <v>59</v>
      </c>
      <c r="B23">
        <v>0.99966942013353111</v>
      </c>
      <c r="C23">
        <v>-2.0172880000000001E-2</v>
      </c>
      <c r="D23">
        <v>-1.4436249999999999E-2</v>
      </c>
      <c r="E23">
        <v>2.039463E-2</v>
      </c>
      <c r="F23">
        <f t="shared" si="0"/>
        <v>0.99987112293531555</v>
      </c>
      <c r="G23">
        <f t="shared" si="1"/>
        <v>0.99952512618750189</v>
      </c>
      <c r="H23">
        <f>Table2[[#This Row],[Price]]/(1+Table2[[#This Row],[7d]]/100)</f>
        <v>0.99946558282593634</v>
      </c>
      <c r="I23" s="6" t="str">
        <f t="shared" si="2"/>
        <v>0-5 USD</v>
      </c>
      <c r="J23" s="6" t="str">
        <f t="shared" si="3"/>
        <v>0.5 - 5</v>
      </c>
      <c r="K23" s="6">
        <f t="shared" si="4"/>
        <v>-4.7381666666666674E-3</v>
      </c>
    </row>
    <row r="24" spans="1:11" x14ac:dyDescent="0.35">
      <c r="A24" t="s">
        <v>55</v>
      </c>
      <c r="B24">
        <v>8.7903406049150659E-2</v>
      </c>
      <c r="C24">
        <v>-0.60981565000000004</v>
      </c>
      <c r="D24">
        <v>-2.5925580799999999</v>
      </c>
      <c r="E24">
        <v>-5.6495487000000004</v>
      </c>
      <c r="F24">
        <f t="shared" si="0"/>
        <v>8.8442743741777408E-2</v>
      </c>
      <c r="G24">
        <f t="shared" si="1"/>
        <v>8.5682049160529766E-2</v>
      </c>
      <c r="H24">
        <f>Table2[[#This Row],[Price]]/(1+Table2[[#This Row],[7d]]/100)</f>
        <v>9.3166916361268809E-2</v>
      </c>
      <c r="I24" s="6" t="str">
        <f t="shared" si="2"/>
        <v>0-5 USD</v>
      </c>
      <c r="J24" s="6" t="str">
        <f t="shared" si="3"/>
        <v>0.05 - 0.5</v>
      </c>
      <c r="K24" s="6">
        <f t="shared" si="4"/>
        <v>-2.9506408099999999</v>
      </c>
    </row>
    <row r="25" spans="1:11" x14ac:dyDescent="0.35">
      <c r="A25" t="s">
        <v>41</v>
      </c>
      <c r="B25">
        <v>223.7677684816947</v>
      </c>
      <c r="C25">
        <v>-1.99731934</v>
      </c>
      <c r="D25">
        <v>-7.8716961100000002</v>
      </c>
      <c r="E25">
        <v>-19.966779209999999</v>
      </c>
      <c r="F25">
        <f t="shared" si="0"/>
        <v>228.32821201902695</v>
      </c>
      <c r="G25">
        <f t="shared" si="1"/>
        <v>207.43881532511736</v>
      </c>
      <c r="H25">
        <f>Table2[[#This Row],[Price]]/(1+Table2[[#This Row],[7d]]/100)</f>
        <v>279.59360659599253</v>
      </c>
      <c r="I25" s="6" t="str">
        <f t="shared" si="2"/>
        <v>Above 5 USD</v>
      </c>
      <c r="J25" s="6" t="str">
        <f t="shared" si="3"/>
        <v>&gt; 50</v>
      </c>
      <c r="K25" s="6">
        <f t="shared" si="4"/>
        <v>-9.9452648866666653</v>
      </c>
    </row>
    <row r="26" spans="1:11" x14ac:dyDescent="0.35">
      <c r="A26" t="s">
        <v>51</v>
      </c>
      <c r="B26">
        <v>8.5088772664168371</v>
      </c>
      <c r="C26">
        <v>-0.16304726999999999</v>
      </c>
      <c r="D26">
        <v>-3.5988840199999999</v>
      </c>
      <c r="E26">
        <v>-15.170154459999999</v>
      </c>
      <c r="F26">
        <f t="shared" si="0"/>
        <v>8.522773415799584</v>
      </c>
      <c r="G26">
        <f t="shared" si="1"/>
        <v>8.2132904682391938</v>
      </c>
      <c r="H26">
        <f>Table2[[#This Row],[Price]]/(1+Table2[[#This Row],[7d]]/100)</f>
        <v>10.030523116306545</v>
      </c>
      <c r="I26" s="6" t="str">
        <f t="shared" si="2"/>
        <v>Above 5 USD</v>
      </c>
      <c r="J26" s="6" t="str">
        <f t="shared" si="3"/>
        <v>5 - 50</v>
      </c>
      <c r="K26" s="6">
        <f t="shared" si="4"/>
        <v>-6.3106952499999993</v>
      </c>
    </row>
    <row r="27" spans="1:11" x14ac:dyDescent="0.35">
      <c r="A27" t="s">
        <v>49</v>
      </c>
      <c r="B27">
        <v>0.88482368935076139</v>
      </c>
      <c r="C27">
        <v>-0.65635862</v>
      </c>
      <c r="D27">
        <v>-6.0082980199999998</v>
      </c>
      <c r="E27">
        <v>-21.126857050000002</v>
      </c>
      <c r="F27">
        <f t="shared" si="0"/>
        <v>0.8906696765485137</v>
      </c>
      <c r="G27">
        <f t="shared" si="1"/>
        <v>0.83467398861910469</v>
      </c>
      <c r="H27">
        <f>Table2[[#This Row],[Price]]/(1+Table2[[#This Row],[7d]]/100)</f>
        <v>1.1218314070629556</v>
      </c>
      <c r="I27" s="6" t="str">
        <f t="shared" si="2"/>
        <v>0-5 USD</v>
      </c>
      <c r="J27" s="6" t="str">
        <f t="shared" si="3"/>
        <v>0.5 - 5</v>
      </c>
      <c r="K27" s="6">
        <f t="shared" si="4"/>
        <v>-9.2638378966666668</v>
      </c>
    </row>
    <row r="28" spans="1:11" x14ac:dyDescent="0.35">
      <c r="A28" t="s">
        <v>53</v>
      </c>
      <c r="B28">
        <v>5.7746485681048302E-6</v>
      </c>
      <c r="C28">
        <v>-0.79432091999999999</v>
      </c>
      <c r="D28">
        <v>-3.28404249</v>
      </c>
      <c r="E28">
        <v>-14.864581360000001</v>
      </c>
      <c r="F28">
        <f t="shared" si="0"/>
        <v>5.820885075992597E-6</v>
      </c>
      <c r="G28">
        <f t="shared" si="1"/>
        <v>5.5910365521023571E-6</v>
      </c>
      <c r="H28">
        <f>Table2[[#This Row],[Price]]/(1+Table2[[#This Row],[7d]]/100)</f>
        <v>6.7828979528758322E-6</v>
      </c>
      <c r="I28" s="6" t="str">
        <f t="shared" si="2"/>
        <v>0-5 USD</v>
      </c>
      <c r="J28" s="6" t="str">
        <f t="shared" si="3"/>
        <v>0 - 0.05</v>
      </c>
      <c r="K28" s="6">
        <f t="shared" si="4"/>
        <v>-6.3143149233333338</v>
      </c>
    </row>
    <row r="29" spans="1:11" x14ac:dyDescent="0.35">
      <c r="A29" t="s">
        <v>61</v>
      </c>
      <c r="B29">
        <v>1.292305264606834</v>
      </c>
      <c r="C29">
        <v>-1.05936568</v>
      </c>
      <c r="D29">
        <v>-4.2574809</v>
      </c>
      <c r="E29">
        <v>-6.8538098999999999</v>
      </c>
      <c r="F29">
        <f t="shared" si="0"/>
        <v>1.3061420855936494</v>
      </c>
      <c r="G29">
        <f t="shared" si="1"/>
        <v>1.2395324090425381</v>
      </c>
      <c r="H29">
        <f>Table2[[#This Row],[Price]]/(1+Table2[[#This Row],[7d]]/100)</f>
        <v>1.3873946569574551</v>
      </c>
      <c r="I29" s="6" t="str">
        <f t="shared" si="2"/>
        <v>0-5 USD</v>
      </c>
      <c r="J29" s="6" t="str">
        <f t="shared" si="3"/>
        <v>0.5 - 5</v>
      </c>
      <c r="K29" s="6">
        <f t="shared" si="4"/>
        <v>-4.0568854933333336</v>
      </c>
    </row>
    <row r="30" spans="1:11" x14ac:dyDescent="0.35">
      <c r="A30" t="s">
        <v>63</v>
      </c>
      <c r="B30">
        <v>7.5382563602532565E-2</v>
      </c>
      <c r="C30">
        <v>-0.20651428999999999</v>
      </c>
      <c r="D30">
        <v>-3.9797884699999999</v>
      </c>
      <c r="E30">
        <v>-9.5013005800000006</v>
      </c>
      <c r="F30">
        <f t="shared" si="0"/>
        <v>7.5538561526545325E-2</v>
      </c>
      <c r="G30">
        <f t="shared" si="1"/>
        <v>7.2497323481555034E-2</v>
      </c>
      <c r="H30">
        <f>Table2[[#This Row],[Price]]/(1+Table2[[#This Row],[7d]]/100)</f>
        <v>8.3296847452675321E-2</v>
      </c>
      <c r="I30" s="6" t="str">
        <f t="shared" si="2"/>
        <v>0-5 USD</v>
      </c>
      <c r="J30" s="6" t="str">
        <f t="shared" si="3"/>
        <v>0.05 - 0.5</v>
      </c>
      <c r="K30" s="6">
        <f t="shared" si="4"/>
        <v>-4.5625344466666666</v>
      </c>
    </row>
    <row r="31" spans="1:11" x14ac:dyDescent="0.35">
      <c r="A31" t="s">
        <v>57</v>
      </c>
      <c r="B31">
        <v>9.9801762275820577E-2</v>
      </c>
      <c r="C31">
        <v>-0.63740695999999997</v>
      </c>
      <c r="D31">
        <v>-6.7254532400000002</v>
      </c>
      <c r="E31">
        <v>-26.625087659999998</v>
      </c>
      <c r="F31">
        <f t="shared" si="0"/>
        <v>0.10044198648846028</v>
      </c>
      <c r="G31">
        <f t="shared" si="1"/>
        <v>9.3512615075421884E-2</v>
      </c>
      <c r="H31">
        <f>Table2[[#This Row],[Price]]/(1+Table2[[#This Row],[7d]]/100)</f>
        <v>0.13601619285535296</v>
      </c>
      <c r="I31" s="6" t="str">
        <f t="shared" si="2"/>
        <v>0-5 USD</v>
      </c>
      <c r="J31" s="6" t="str">
        <f t="shared" si="3"/>
        <v>0.05 - 0.5</v>
      </c>
      <c r="K31" s="6">
        <f t="shared" si="4"/>
        <v>-11.329315953333333</v>
      </c>
    </row>
    <row r="32" spans="1:11" x14ac:dyDescent="0.35">
      <c r="A32" t="s">
        <v>71</v>
      </c>
      <c r="B32">
        <v>5071.1674294005952</v>
      </c>
      <c r="C32">
        <v>0.66584604999999997</v>
      </c>
      <c r="D32">
        <v>0.87862907999999995</v>
      </c>
      <c r="E32">
        <v>0.71963999999999995</v>
      </c>
      <c r="F32">
        <f t="shared" si="0"/>
        <v>5037.6246049546762</v>
      </c>
      <c r="G32">
        <f t="shared" si="1"/>
        <v>5116.1191399314794</v>
      </c>
      <c r="H32">
        <f>Table2[[#This Row],[Price]]/(1+Table2[[#This Row],[7d]]/100)</f>
        <v>5034.9340301460525</v>
      </c>
      <c r="I32" s="6" t="str">
        <f t="shared" si="2"/>
        <v>Above 5 USD</v>
      </c>
      <c r="J32" s="6" t="str">
        <f t="shared" si="3"/>
        <v>&gt; 50</v>
      </c>
      <c r="K32" s="6">
        <f t="shared" si="4"/>
        <v>0.75470504333333333</v>
      </c>
    </row>
    <row r="33" spans="1:11" x14ac:dyDescent="0.35">
      <c r="A33" t="s">
        <v>77</v>
      </c>
      <c r="B33">
        <v>5098.2664520072221</v>
      </c>
      <c r="C33">
        <v>0.64424605999999995</v>
      </c>
      <c r="D33">
        <v>0.94714690999999995</v>
      </c>
      <c r="E33">
        <v>0.61972174999999996</v>
      </c>
      <c r="F33">
        <f t="shared" si="0"/>
        <v>5065.6313218023843</v>
      </c>
      <c r="G33">
        <f t="shared" si="1"/>
        <v>5147.0162574468268</v>
      </c>
      <c r="H33">
        <f>Table2[[#This Row],[Price]]/(1+Table2[[#This Row],[7d]]/100)</f>
        <v>5066.8659814766606</v>
      </c>
      <c r="I33" s="6" t="str">
        <f t="shared" si="2"/>
        <v>Above 5 USD</v>
      </c>
      <c r="J33" s="6" t="str">
        <f t="shared" si="3"/>
        <v>&gt; 50</v>
      </c>
      <c r="K33" s="6">
        <f t="shared" si="4"/>
        <v>0.73703823999999996</v>
      </c>
    </row>
    <row r="34" spans="1:11" x14ac:dyDescent="0.35">
      <c r="A34" t="s">
        <v>65</v>
      </c>
      <c r="B34">
        <v>1.2306644584672599</v>
      </c>
      <c r="C34">
        <v>-0.41244573000000001</v>
      </c>
      <c r="D34">
        <v>-3.2869078900000002</v>
      </c>
      <c r="E34">
        <v>-18.152878359999999</v>
      </c>
      <c r="F34">
        <f t="shared" ref="F34:F65" si="5">B34/(1+C34/100)</f>
        <v>1.2357613031952812</v>
      </c>
      <c r="G34">
        <f t="shared" ref="G34:G65" si="6">B34/(1-D34/100)</f>
        <v>1.1915009206954972</v>
      </c>
      <c r="H34">
        <f>Table2[[#This Row],[Price]]/(1+Table2[[#This Row],[7d]]/100)</f>
        <v>1.5036136076724469</v>
      </c>
      <c r="I34" s="6" t="str">
        <f t="shared" ref="I34:I65" si="7">IF(AND(B34&gt;=0,B34&lt;=5),"0-5 USD","Above 5 USD")</f>
        <v>0-5 USD</v>
      </c>
      <c r="J34" s="6" t="str">
        <f t="shared" ref="J34:J65" si="8">IF(B34&lt;=0.05,"0 - 0.05",
IF(B34&lt;=0.5,"0.05 - 0.5",
IF(B34&lt;=5,"0.5 - 5",
IF(B34&lt;=50,"5 - 50",
"&gt; 50"))))</f>
        <v>0.5 - 5</v>
      </c>
      <c r="K34" s="6">
        <f t="shared" ref="K34:K65" si="9">AVERAGE(C34,D34,E34)</f>
        <v>-7.2840773266666661</v>
      </c>
    </row>
    <row r="35" spans="1:11" x14ac:dyDescent="0.35">
      <c r="A35" t="s">
        <v>67</v>
      </c>
      <c r="B35">
        <v>3.2276829483870801</v>
      </c>
      <c r="C35">
        <v>-0.21266515999999999</v>
      </c>
      <c r="D35">
        <v>-4.0156176200000004</v>
      </c>
      <c r="E35">
        <v>-16.407757960000001</v>
      </c>
      <c r="F35">
        <f t="shared" si="5"/>
        <v>3.2345617342745738</v>
      </c>
      <c r="G35">
        <f t="shared" si="6"/>
        <v>3.1030753094970471</v>
      </c>
      <c r="H35">
        <f>Table2[[#This Row],[Price]]/(1+Table2[[#This Row],[7d]]/100)</f>
        <v>3.8612230867579687</v>
      </c>
      <c r="I35" s="6" t="str">
        <f t="shared" si="7"/>
        <v>0-5 USD</v>
      </c>
      <c r="J35" s="6" t="str">
        <f t="shared" si="8"/>
        <v>0.5 - 5</v>
      </c>
      <c r="K35" s="6">
        <f t="shared" si="9"/>
        <v>-6.8786802466666677</v>
      </c>
    </row>
    <row r="36" spans="1:11" x14ac:dyDescent="0.35">
      <c r="A36" t="s">
        <v>69</v>
      </c>
      <c r="B36">
        <v>0.60481372928327315</v>
      </c>
      <c r="C36">
        <v>-1.06143817</v>
      </c>
      <c r="D36">
        <v>-5.3572131799999996</v>
      </c>
      <c r="E36">
        <v>-15.312590159999999</v>
      </c>
      <c r="F36">
        <f t="shared" si="5"/>
        <v>0.61130232550023023</v>
      </c>
      <c r="G36">
        <f t="shared" si="6"/>
        <v>0.57406010564266252</v>
      </c>
      <c r="H36">
        <f>Table2[[#This Row],[Price]]/(1+Table2[[#This Row],[7d]]/100)</f>
        <v>0.71417195357131391</v>
      </c>
      <c r="I36" s="6" t="str">
        <f t="shared" si="7"/>
        <v>0-5 USD</v>
      </c>
      <c r="J36" s="6" t="str">
        <f t="shared" si="8"/>
        <v>0.5 - 5</v>
      </c>
      <c r="K36" s="6">
        <f t="shared" si="9"/>
        <v>-7.2437471699999989</v>
      </c>
    </row>
    <row r="37" spans="1:11" x14ac:dyDescent="0.35">
      <c r="A37" t="s">
        <v>82</v>
      </c>
      <c r="B37">
        <v>1.409029404604857</v>
      </c>
      <c r="C37">
        <v>0.15004355</v>
      </c>
      <c r="D37">
        <v>-7.3376242300000003</v>
      </c>
      <c r="E37">
        <v>-3.50484485</v>
      </c>
      <c r="F37">
        <f t="shared" si="5"/>
        <v>1.406918414270482</v>
      </c>
      <c r="G37">
        <f t="shared" si="6"/>
        <v>1.3127078363367062</v>
      </c>
      <c r="H37">
        <f>Table2[[#This Row],[Price]]/(1+Table2[[#This Row],[7d]]/100)</f>
        <v>1.4602074087704673</v>
      </c>
      <c r="I37" s="6" t="str">
        <f t="shared" si="7"/>
        <v>0-5 USD</v>
      </c>
      <c r="J37" s="6" t="str">
        <f t="shared" si="8"/>
        <v>0.5 - 5</v>
      </c>
      <c r="K37" s="6">
        <f t="shared" si="9"/>
        <v>-3.5641418433333332</v>
      </c>
    </row>
    <row r="38" spans="1:11" x14ac:dyDescent="0.35">
      <c r="A38" t="s">
        <v>94</v>
      </c>
      <c r="B38">
        <v>0.65309877559370044</v>
      </c>
      <c r="C38">
        <v>9.0207410000000002E-2</v>
      </c>
      <c r="D38">
        <v>4.0566500400000001</v>
      </c>
      <c r="E38">
        <v>15.03734379</v>
      </c>
      <c r="F38">
        <f t="shared" si="5"/>
        <v>0.65251016307560306</v>
      </c>
      <c r="G38">
        <f t="shared" si="6"/>
        <v>0.68071291638866649</v>
      </c>
      <c r="H38">
        <f>Table2[[#This Row],[Price]]/(1+Table2[[#This Row],[7d]]/100)</f>
        <v>0.56772762137652322</v>
      </c>
      <c r="I38" s="6" t="str">
        <f t="shared" si="7"/>
        <v>0-5 USD</v>
      </c>
      <c r="J38" s="6" t="str">
        <f t="shared" si="8"/>
        <v>0.5 - 5</v>
      </c>
      <c r="K38" s="6">
        <f t="shared" si="9"/>
        <v>6.3947337466666667</v>
      </c>
    </row>
    <row r="39" spans="1:11" x14ac:dyDescent="0.35">
      <c r="A39" t="s">
        <v>79</v>
      </c>
      <c r="B39">
        <v>104.83785423331101</v>
      </c>
      <c r="C39">
        <v>-0.55982374999999995</v>
      </c>
      <c r="D39">
        <v>-3.8056792399999999</v>
      </c>
      <c r="E39">
        <v>-17.364759530000001</v>
      </c>
      <c r="F39">
        <f t="shared" si="5"/>
        <v>105.42806558361364</v>
      </c>
      <c r="G39">
        <f t="shared" si="6"/>
        <v>100.99433383690368</v>
      </c>
      <c r="H39">
        <f>Table2[[#This Row],[Price]]/(1+Table2[[#This Row],[7d]]/100)</f>
        <v>126.86821462251505</v>
      </c>
      <c r="I39" s="6" t="str">
        <f t="shared" si="7"/>
        <v>Above 5 USD</v>
      </c>
      <c r="J39" s="6" t="str">
        <f t="shared" si="8"/>
        <v>&gt; 50</v>
      </c>
      <c r="K39" s="6">
        <f t="shared" si="9"/>
        <v>-7.2434208399999997</v>
      </c>
    </row>
    <row r="40" spans="1:11" x14ac:dyDescent="0.35">
      <c r="A40" t="s">
        <v>73</v>
      </c>
      <c r="B40">
        <v>2.2936855510436591</v>
      </c>
      <c r="C40">
        <v>-0.65125748999999999</v>
      </c>
      <c r="D40">
        <v>-9.8060495700000008</v>
      </c>
      <c r="E40">
        <v>-24.241075219999999</v>
      </c>
      <c r="F40">
        <f t="shared" si="5"/>
        <v>2.3087212712458709</v>
      </c>
      <c r="G40">
        <f t="shared" si="6"/>
        <v>2.0888517162995313</v>
      </c>
      <c r="H40">
        <f>Table2[[#This Row],[Price]]/(1+Table2[[#This Row],[7d]]/100)</f>
        <v>3.0276110144176456</v>
      </c>
      <c r="I40" s="6" t="str">
        <f t="shared" si="7"/>
        <v>0-5 USD</v>
      </c>
      <c r="J40" s="6" t="str">
        <f t="shared" si="8"/>
        <v>0.5 - 5</v>
      </c>
      <c r="K40" s="6">
        <f t="shared" si="9"/>
        <v>-11.566127426666668</v>
      </c>
    </row>
    <row r="41" spans="1:11" x14ac:dyDescent="0.35">
      <c r="A41" t="s">
        <v>92</v>
      </c>
      <c r="B41">
        <v>1.000186794524432</v>
      </c>
      <c r="C41">
        <v>0.11641355</v>
      </c>
      <c r="D41">
        <v>3.92611E-2</v>
      </c>
      <c r="E41">
        <v>5.2951779999999997E-2</v>
      </c>
      <c r="F41">
        <f t="shared" si="5"/>
        <v>0.99902379545879372</v>
      </c>
      <c r="G41">
        <f t="shared" si="6"/>
        <v>1.0005796330947609</v>
      </c>
      <c r="H41">
        <f>Table2[[#This Row],[Price]]/(1+Table2[[#This Row],[7d]]/100)</f>
        <v>0.99965745810646189</v>
      </c>
      <c r="I41" s="6" t="str">
        <f t="shared" si="7"/>
        <v>0-5 USD</v>
      </c>
      <c r="J41" s="6" t="str">
        <f t="shared" si="8"/>
        <v>0.5 - 5</v>
      </c>
      <c r="K41" s="6">
        <f t="shared" si="9"/>
        <v>6.9542143333333334E-2</v>
      </c>
    </row>
    <row r="42" spans="1:11" x14ac:dyDescent="0.35">
      <c r="A42" t="s">
        <v>75</v>
      </c>
      <c r="B42">
        <v>145.2261068540993</v>
      </c>
      <c r="C42">
        <v>-0.49059457000000001</v>
      </c>
      <c r="D42">
        <v>-7.1814593699999998</v>
      </c>
      <c r="E42">
        <v>-24.67678416</v>
      </c>
      <c r="F42">
        <f t="shared" si="5"/>
        <v>145.94209082704123</v>
      </c>
      <c r="G42">
        <f t="shared" si="6"/>
        <v>135.49554905085381</v>
      </c>
      <c r="H42">
        <f>Table2[[#This Row],[Price]]/(1+Table2[[#This Row],[7d]]/100)</f>
        <v>192.80391209343153</v>
      </c>
      <c r="I42" s="6" t="str">
        <f t="shared" si="7"/>
        <v>Above 5 USD</v>
      </c>
      <c r="J42" s="6" t="str">
        <f t="shared" si="8"/>
        <v>&gt; 50</v>
      </c>
      <c r="K42" s="6">
        <f t="shared" si="9"/>
        <v>-10.782946033333333</v>
      </c>
    </row>
    <row r="43" spans="1:11" x14ac:dyDescent="0.35">
      <c r="A43" t="s">
        <v>104</v>
      </c>
      <c r="B43">
        <v>1.0000822728850409</v>
      </c>
      <c r="C43">
        <v>1.049516E-2</v>
      </c>
      <c r="D43">
        <v>1.3021430000000001E-2</v>
      </c>
      <c r="E43">
        <v>9.5452549999999997E-2</v>
      </c>
      <c r="F43">
        <f t="shared" si="5"/>
        <v>0.99997732366495851</v>
      </c>
      <c r="G43">
        <f t="shared" si="6"/>
        <v>1.0002125148575143</v>
      </c>
      <c r="H43">
        <f>Table2[[#This Row],[Price]]/(1+Table2[[#This Row],[7d]]/100)</f>
        <v>0.99912857917843623</v>
      </c>
      <c r="I43" s="6" t="str">
        <f t="shared" si="7"/>
        <v>0-5 USD</v>
      </c>
      <c r="J43" s="6" t="str">
        <f t="shared" si="8"/>
        <v>0.5 - 5</v>
      </c>
      <c r="K43" s="6">
        <f t="shared" si="9"/>
        <v>3.9656379999999998E-2</v>
      </c>
    </row>
    <row r="44" spans="1:11" x14ac:dyDescent="0.35">
      <c r="A44" t="s">
        <v>81</v>
      </c>
      <c r="B44">
        <v>71.982604810468757</v>
      </c>
      <c r="C44">
        <v>-0.96741699999999997</v>
      </c>
      <c r="D44">
        <v>-4.5446734099999997</v>
      </c>
      <c r="E44">
        <v>-16.101403309999998</v>
      </c>
      <c r="F44">
        <f t="shared" si="5"/>
        <v>72.685779396937235</v>
      </c>
      <c r="G44">
        <f t="shared" si="6"/>
        <v>68.853440794797507</v>
      </c>
      <c r="H44">
        <f>Table2[[#This Row],[Price]]/(1+Table2[[#This Row],[7d]]/100)</f>
        <v>85.797149952865027</v>
      </c>
      <c r="I44" s="6" t="str">
        <f t="shared" si="7"/>
        <v>Above 5 USD</v>
      </c>
      <c r="J44" s="6" t="str">
        <f t="shared" si="8"/>
        <v>&gt; 50</v>
      </c>
      <c r="K44" s="6">
        <f t="shared" si="9"/>
        <v>-7.2044979066666661</v>
      </c>
    </row>
    <row r="45" spans="1:11" x14ac:dyDescent="0.35">
      <c r="A45" t="s">
        <v>98</v>
      </c>
      <c r="B45">
        <v>6.358661476751909E-2</v>
      </c>
      <c r="C45">
        <v>-0.82329392000000001</v>
      </c>
      <c r="D45">
        <v>-8.33384444</v>
      </c>
      <c r="E45">
        <v>2.3562277300000001</v>
      </c>
      <c r="F45">
        <f t="shared" si="5"/>
        <v>6.4114465261860501E-2</v>
      </c>
      <c r="G45">
        <f t="shared" si="6"/>
        <v>5.8695059790605068E-2</v>
      </c>
      <c r="H45">
        <f>Table2[[#This Row],[Price]]/(1+Table2[[#This Row],[7d]]/100)</f>
        <v>6.2122858743144396E-2</v>
      </c>
      <c r="I45" s="6" t="str">
        <f t="shared" si="7"/>
        <v>0-5 USD</v>
      </c>
      <c r="J45" s="6" t="str">
        <f t="shared" si="8"/>
        <v>0.05 - 0.5</v>
      </c>
      <c r="K45" s="6">
        <f t="shared" si="9"/>
        <v>-2.2669702099999998</v>
      </c>
    </row>
    <row r="46" spans="1:11" x14ac:dyDescent="0.35">
      <c r="A46" t="s">
        <v>84</v>
      </c>
      <c r="B46">
        <v>3.514696529958217E-6</v>
      </c>
      <c r="C46">
        <v>-0.63351069000000004</v>
      </c>
      <c r="D46">
        <v>-3.9901823599999999</v>
      </c>
      <c r="E46">
        <v>-16.82473487</v>
      </c>
      <c r="F46">
        <f t="shared" si="5"/>
        <v>3.53710446485957E-6</v>
      </c>
      <c r="G46">
        <f t="shared" si="6"/>
        <v>3.3798349519099904E-6</v>
      </c>
      <c r="H46">
        <f>Table2[[#This Row],[Price]]/(1+Table2[[#This Row],[7d]]/100)</f>
        <v>4.2256511289322256E-6</v>
      </c>
      <c r="I46" s="6" t="str">
        <f t="shared" si="7"/>
        <v>0-5 USD</v>
      </c>
      <c r="J46" s="6" t="str">
        <f t="shared" si="8"/>
        <v>0 - 0.05</v>
      </c>
      <c r="K46" s="6">
        <f t="shared" si="9"/>
        <v>-7.1494759733333337</v>
      </c>
    </row>
    <row r="47" spans="1:11" x14ac:dyDescent="0.35">
      <c r="A47" t="s">
        <v>88</v>
      </c>
      <c r="B47">
        <v>2.2875545320692701</v>
      </c>
      <c r="C47">
        <v>-9.9025479999999999E-2</v>
      </c>
      <c r="D47">
        <v>-3.1660390600000001</v>
      </c>
      <c r="E47">
        <v>-16.27139549</v>
      </c>
      <c r="F47">
        <f t="shared" si="5"/>
        <v>2.2898220393348674</v>
      </c>
      <c r="G47">
        <f t="shared" si="6"/>
        <v>2.2173522923942626</v>
      </c>
      <c r="H47">
        <f>Table2[[#This Row],[Price]]/(1+Table2[[#This Row],[7d]]/100)</f>
        <v>2.7321063637171443</v>
      </c>
      <c r="I47" s="6" t="str">
        <f t="shared" si="7"/>
        <v>0-5 USD</v>
      </c>
      <c r="J47" s="6" t="str">
        <f t="shared" si="8"/>
        <v>0.5 - 5</v>
      </c>
      <c r="K47" s="6">
        <f t="shared" si="9"/>
        <v>-6.5121533433333338</v>
      </c>
    </row>
    <row r="48" spans="1:11" x14ac:dyDescent="0.35">
      <c r="A48" t="s">
        <v>90</v>
      </c>
      <c r="B48">
        <v>8.020847594323163</v>
      </c>
      <c r="C48">
        <v>-0.47797124000000002</v>
      </c>
      <c r="D48">
        <v>-4.0514766699999996</v>
      </c>
      <c r="E48">
        <v>-17.13153432</v>
      </c>
      <c r="F48">
        <f t="shared" si="5"/>
        <v>8.0593690605580885</v>
      </c>
      <c r="G48">
        <f t="shared" si="6"/>
        <v>7.7085379766030018</v>
      </c>
      <c r="H48">
        <f>Table2[[#This Row],[Price]]/(1+Table2[[#This Row],[7d]]/100)</f>
        <v>9.6790106206334219</v>
      </c>
      <c r="I48" s="6" t="str">
        <f t="shared" si="7"/>
        <v>Above 5 USD</v>
      </c>
      <c r="J48" s="6" t="str">
        <f t="shared" si="8"/>
        <v>5 - 50</v>
      </c>
      <c r="K48" s="6">
        <f t="shared" si="9"/>
        <v>-7.2203274100000003</v>
      </c>
    </row>
    <row r="49" spans="1:11" x14ac:dyDescent="0.35">
      <c r="A49" t="s">
        <v>102</v>
      </c>
      <c r="B49">
        <v>4.9219791747058634</v>
      </c>
      <c r="C49">
        <v>-1.4345499100000001</v>
      </c>
      <c r="D49">
        <v>-18.737242169999998</v>
      </c>
      <c r="E49">
        <v>-14.294700110000001</v>
      </c>
      <c r="F49">
        <f t="shared" si="5"/>
        <v>4.9936150752739525</v>
      </c>
      <c r="G49">
        <f t="shared" si="6"/>
        <v>4.1452699125847179</v>
      </c>
      <c r="H49">
        <f>Table2[[#This Row],[Price]]/(1+Table2[[#This Row],[7d]]/100)</f>
        <v>5.7429110930398304</v>
      </c>
      <c r="I49" s="6" t="str">
        <f t="shared" si="7"/>
        <v>0-5 USD</v>
      </c>
      <c r="J49" s="6" t="str">
        <f t="shared" si="8"/>
        <v>0.5 - 5</v>
      </c>
      <c r="K49" s="6">
        <f t="shared" si="9"/>
        <v>-11.488830729999998</v>
      </c>
    </row>
    <row r="50" spans="1:11" x14ac:dyDescent="0.35">
      <c r="A50" t="s">
        <v>86</v>
      </c>
      <c r="B50">
        <v>0.94538062894248842</v>
      </c>
      <c r="C50">
        <v>-0.51843433999999999</v>
      </c>
      <c r="D50">
        <v>-5.2032280499999999</v>
      </c>
      <c r="E50">
        <v>-20.44896773</v>
      </c>
      <c r="F50">
        <f t="shared" si="5"/>
        <v>0.95030734857303445</v>
      </c>
      <c r="G50">
        <f t="shared" si="6"/>
        <v>0.89862321381733345</v>
      </c>
      <c r="H50">
        <f>Table2[[#This Row],[Price]]/(1+Table2[[#This Row],[7d]]/100)</f>
        <v>1.1883951747273642</v>
      </c>
      <c r="I50" s="6" t="str">
        <f t="shared" si="7"/>
        <v>0-5 USD</v>
      </c>
      <c r="J50" s="6" t="str">
        <f t="shared" si="8"/>
        <v>0.5 - 5</v>
      </c>
      <c r="K50" s="6">
        <f t="shared" si="9"/>
        <v>-8.7235433733333334</v>
      </c>
    </row>
    <row r="51" spans="1:11" x14ac:dyDescent="0.35">
      <c r="A51" t="s">
        <v>100</v>
      </c>
      <c r="B51">
        <v>0.1327888739791398</v>
      </c>
      <c r="C51">
        <v>-4.2757870000000003E-2</v>
      </c>
      <c r="D51">
        <v>-4.0179147300000002</v>
      </c>
      <c r="E51">
        <v>-17.091270130000002</v>
      </c>
      <c r="F51">
        <f t="shared" si="5"/>
        <v>0.13284567596056765</v>
      </c>
      <c r="G51">
        <f t="shared" si="6"/>
        <v>0.12765961932982484</v>
      </c>
      <c r="H51">
        <f>Table2[[#This Row],[Price]]/(1+Table2[[#This Row],[7d]]/100)</f>
        <v>0.16016271650446381</v>
      </c>
      <c r="I51" s="6" t="str">
        <f t="shared" si="7"/>
        <v>0-5 USD</v>
      </c>
      <c r="J51" s="6" t="str">
        <f t="shared" si="8"/>
        <v>0.05 - 0.5</v>
      </c>
      <c r="K51" s="6">
        <f t="shared" si="9"/>
        <v>-7.050647576666667</v>
      </c>
    </row>
    <row r="52" spans="1:11" x14ac:dyDescent="0.35">
      <c r="A52" t="s">
        <v>96</v>
      </c>
      <c r="B52">
        <v>0.23763435598126209</v>
      </c>
      <c r="C52">
        <v>-0.58962819</v>
      </c>
      <c r="D52">
        <v>-3.1292764800000001</v>
      </c>
      <c r="E52">
        <v>-15.27701646</v>
      </c>
      <c r="F52">
        <f t="shared" si="5"/>
        <v>0.23904382576442362</v>
      </c>
      <c r="G52">
        <f t="shared" si="6"/>
        <v>0.2304237594717799</v>
      </c>
      <c r="H52">
        <f>Table2[[#This Row],[Price]]/(1+Table2[[#This Row],[7d]]/100)</f>
        <v>0.28048393251999737</v>
      </c>
      <c r="I52" s="6" t="str">
        <f t="shared" si="7"/>
        <v>0-5 USD</v>
      </c>
      <c r="J52" s="6" t="str">
        <f t="shared" si="8"/>
        <v>0.05 - 0.5</v>
      </c>
      <c r="K52" s="6">
        <f t="shared" si="9"/>
        <v>-6.3319737099999998</v>
      </c>
    </row>
    <row r="53" spans="1:11" x14ac:dyDescent="0.35">
      <c r="A53" t="s">
        <v>106</v>
      </c>
      <c r="B53">
        <v>7.8804922989198358</v>
      </c>
      <c r="C53">
        <v>-0.40076800000000001</v>
      </c>
      <c r="D53">
        <v>-3.28246422</v>
      </c>
      <c r="E53">
        <v>-14.7100198</v>
      </c>
      <c r="F53">
        <f t="shared" si="5"/>
        <v>7.912201872118688</v>
      </c>
      <c r="G53">
        <f t="shared" si="6"/>
        <v>7.6300389988117923</v>
      </c>
      <c r="H53">
        <f>Table2[[#This Row],[Price]]/(1+Table2[[#This Row],[7d]]/100)</f>
        <v>9.2396460644504117</v>
      </c>
      <c r="I53" s="6" t="str">
        <f t="shared" si="7"/>
        <v>Above 5 USD</v>
      </c>
      <c r="J53" s="6" t="str">
        <f t="shared" si="8"/>
        <v>5 - 50</v>
      </c>
      <c r="K53" s="6">
        <f t="shared" si="9"/>
        <v>-6.1310840066666659</v>
      </c>
    </row>
    <row r="54" spans="1:11" x14ac:dyDescent="0.35">
      <c r="A54" t="s">
        <v>108</v>
      </c>
      <c r="B54">
        <v>0.36284609214224112</v>
      </c>
      <c r="C54">
        <v>-0.37371980999999999</v>
      </c>
      <c r="D54">
        <v>-5.2883808400000003</v>
      </c>
      <c r="E54">
        <v>-11.77131911</v>
      </c>
      <c r="F54">
        <f t="shared" si="5"/>
        <v>0.36420720662283829</v>
      </c>
      <c r="G54">
        <f t="shared" si="6"/>
        <v>0.34462121009690044</v>
      </c>
      <c r="H54">
        <f>Table2[[#This Row],[Price]]/(1+Table2[[#This Row],[7d]]/100)</f>
        <v>0.41125639472568243</v>
      </c>
      <c r="I54" s="6" t="str">
        <f t="shared" si="7"/>
        <v>0-5 USD</v>
      </c>
      <c r="J54" s="6" t="str">
        <f t="shared" si="8"/>
        <v>0.05 - 0.5</v>
      </c>
      <c r="K54" s="6">
        <f t="shared" si="9"/>
        <v>-5.8111399199999996</v>
      </c>
    </row>
    <row r="55" spans="1:11" x14ac:dyDescent="0.35">
      <c r="A55" t="s">
        <v>114</v>
      </c>
      <c r="B55">
        <v>0.99883106107317687</v>
      </c>
      <c r="C55">
        <v>-6.0681649999999997E-2</v>
      </c>
      <c r="D55">
        <v>-3.0183519999999998E-2</v>
      </c>
      <c r="E55">
        <v>3.062028E-2</v>
      </c>
      <c r="F55">
        <f t="shared" si="5"/>
        <v>0.99943753626089937</v>
      </c>
      <c r="G55">
        <f t="shared" si="6"/>
        <v>0.99852966967062595</v>
      </c>
      <c r="H55">
        <f>Table2[[#This Row],[Price]]/(1+Table2[[#This Row],[7d]]/100)</f>
        <v>0.99852530982743681</v>
      </c>
      <c r="I55" s="6" t="str">
        <f t="shared" si="7"/>
        <v>0-5 USD</v>
      </c>
      <c r="J55" s="6" t="str">
        <f t="shared" si="8"/>
        <v>0.5 - 5</v>
      </c>
      <c r="K55" s="6">
        <f t="shared" si="9"/>
        <v>-2.008163E-2</v>
      </c>
    </row>
    <row r="56" spans="1:11" x14ac:dyDescent="0.35">
      <c r="A56" t="s">
        <v>112</v>
      </c>
      <c r="B56">
        <v>8.8131925322637167E-2</v>
      </c>
      <c r="C56">
        <v>-0.32333882000000003</v>
      </c>
      <c r="D56">
        <v>-4.5630416800000004</v>
      </c>
      <c r="E56">
        <v>-20.093888159999999</v>
      </c>
      <c r="F56">
        <f t="shared" si="5"/>
        <v>8.8417814440518924E-2</v>
      </c>
      <c r="G56">
        <f t="shared" si="6"/>
        <v>8.4285923502830123E-2</v>
      </c>
      <c r="H56">
        <f>Table2[[#This Row],[Price]]/(1+Table2[[#This Row],[7d]]/100)</f>
        <v>0.11029434832107476</v>
      </c>
      <c r="I56" s="6" t="str">
        <f t="shared" si="7"/>
        <v>0-5 USD</v>
      </c>
      <c r="J56" s="6" t="str">
        <f t="shared" si="8"/>
        <v>0.05 - 0.5</v>
      </c>
      <c r="K56" s="6">
        <f t="shared" si="9"/>
        <v>-8.32675622</v>
      </c>
    </row>
    <row r="57" spans="1:11" x14ac:dyDescent="0.35">
      <c r="A57" t="s">
        <v>121</v>
      </c>
      <c r="B57">
        <v>1.87980980437886</v>
      </c>
      <c r="C57">
        <v>-0.10375657000000001</v>
      </c>
      <c r="D57">
        <v>-1.32305173</v>
      </c>
      <c r="E57">
        <v>-8.3890630799999997</v>
      </c>
      <c r="F57">
        <f t="shared" si="5"/>
        <v>1.881762256351605</v>
      </c>
      <c r="G57">
        <f t="shared" si="6"/>
        <v>1.8552637058229078</v>
      </c>
      <c r="H57">
        <f>Table2[[#This Row],[Price]]/(1+Table2[[#This Row],[7d]]/100)</f>
        <v>2.0519491095483713</v>
      </c>
      <c r="I57" s="6" t="str">
        <f t="shared" si="7"/>
        <v>0-5 USD</v>
      </c>
      <c r="J57" s="6" t="str">
        <f t="shared" si="8"/>
        <v>0.5 - 5</v>
      </c>
      <c r="K57" s="6">
        <f t="shared" si="9"/>
        <v>-3.2719571266666665</v>
      </c>
    </row>
    <row r="58" spans="1:11" x14ac:dyDescent="0.35">
      <c r="A58" t="s">
        <v>110</v>
      </c>
      <c r="B58">
        <v>0.1088696072352828</v>
      </c>
      <c r="C58">
        <v>-1.32270084</v>
      </c>
      <c r="D58">
        <v>-5.6396511800000004</v>
      </c>
      <c r="E58">
        <v>-21.921007580000001</v>
      </c>
      <c r="F58">
        <f t="shared" si="5"/>
        <v>0.11032892890466785</v>
      </c>
      <c r="G58">
        <f t="shared" si="6"/>
        <v>0.10305752245412024</v>
      </c>
      <c r="H58">
        <f>Table2[[#This Row],[Price]]/(1+Table2[[#This Row],[7d]]/100)</f>
        <v>0.13943521024151401</v>
      </c>
      <c r="I58" s="6" t="str">
        <f t="shared" si="7"/>
        <v>0-5 USD</v>
      </c>
      <c r="J58" s="6" t="str">
        <f t="shared" si="8"/>
        <v>0.05 - 0.5</v>
      </c>
      <c r="K58" s="6">
        <f t="shared" si="9"/>
        <v>-9.6277865333333335</v>
      </c>
    </row>
    <row r="59" spans="1:11" x14ac:dyDescent="0.35">
      <c r="A59" t="s">
        <v>119</v>
      </c>
      <c r="B59">
        <v>3.0640394684483749E-2</v>
      </c>
      <c r="C59">
        <v>-1.5902057999999999</v>
      </c>
      <c r="D59">
        <v>-0.57722390999999995</v>
      </c>
      <c r="E59">
        <v>-6.4783113800000001</v>
      </c>
      <c r="F59">
        <f t="shared" si="5"/>
        <v>3.1135513424825095E-2</v>
      </c>
      <c r="G59">
        <f t="shared" si="6"/>
        <v>3.0464546040664082E-2</v>
      </c>
      <c r="H59">
        <f>Table2[[#This Row],[Price]]/(1+Table2[[#This Row],[7d]]/100)</f>
        <v>3.2762875795562973E-2</v>
      </c>
      <c r="I59" s="6" t="str">
        <f t="shared" si="7"/>
        <v>0-5 USD</v>
      </c>
      <c r="J59" s="6" t="str">
        <f t="shared" si="8"/>
        <v>0 - 0.05</v>
      </c>
      <c r="K59" s="6">
        <f t="shared" si="9"/>
        <v>-2.8819136966666665</v>
      </c>
    </row>
    <row r="60" spans="1:11" x14ac:dyDescent="0.35">
      <c r="A60" t="s">
        <v>137</v>
      </c>
      <c r="B60">
        <v>68.491446587236851</v>
      </c>
      <c r="C60">
        <v>-0.79989235000000003</v>
      </c>
      <c r="D60">
        <v>-0.50139484999999995</v>
      </c>
      <c r="E60">
        <v>1.9373997700000001</v>
      </c>
      <c r="F60">
        <f t="shared" si="5"/>
        <v>69.043722037973865</v>
      </c>
      <c r="G60">
        <f t="shared" si="6"/>
        <v>68.149747264166308</v>
      </c>
      <c r="H60">
        <f>Table2[[#This Row],[Price]]/(1+Table2[[#This Row],[7d]]/100)</f>
        <v>67.189713237509679</v>
      </c>
      <c r="I60" s="6" t="str">
        <f t="shared" si="7"/>
        <v>Above 5 USD</v>
      </c>
      <c r="J60" s="6" t="str">
        <f t="shared" si="8"/>
        <v>&gt; 50</v>
      </c>
      <c r="K60" s="6">
        <f t="shared" si="9"/>
        <v>0.21203752333333337</v>
      </c>
    </row>
    <row r="61" spans="1:11" x14ac:dyDescent="0.35">
      <c r="A61" t="s">
        <v>131</v>
      </c>
      <c r="B61">
        <v>4.7913502355631798E-2</v>
      </c>
      <c r="C61">
        <v>-0.99590953000000004</v>
      </c>
      <c r="D61">
        <v>-4.3316650299999999</v>
      </c>
      <c r="E61">
        <v>-3.1171087800000001</v>
      </c>
      <c r="F61">
        <f t="shared" si="5"/>
        <v>4.8395477528426406E-2</v>
      </c>
      <c r="G61">
        <f t="shared" si="6"/>
        <v>4.5924219020040111E-2</v>
      </c>
      <c r="H61">
        <f>Table2[[#This Row],[Price]]/(1+Table2[[#This Row],[7d]]/100)</f>
        <v>4.9455070706788305E-2</v>
      </c>
      <c r="I61" s="6" t="str">
        <f t="shared" si="7"/>
        <v>0-5 USD</v>
      </c>
      <c r="J61" s="6" t="str">
        <f t="shared" si="8"/>
        <v>0 - 0.05</v>
      </c>
      <c r="K61" s="6">
        <f t="shared" si="9"/>
        <v>-2.814894446666667</v>
      </c>
    </row>
    <row r="62" spans="1:11" x14ac:dyDescent="0.35">
      <c r="A62" t="s">
        <v>123</v>
      </c>
      <c r="B62">
        <v>8.8880451206858002E-2</v>
      </c>
      <c r="C62">
        <v>-0.40551306999999998</v>
      </c>
      <c r="D62">
        <v>-5.0717987600000001</v>
      </c>
      <c r="E62">
        <v>-16.858181250000001</v>
      </c>
      <c r="F62">
        <f t="shared" si="5"/>
        <v>8.9242340561810046E-2</v>
      </c>
      <c r="G62">
        <f t="shared" si="6"/>
        <v>8.4590206178800184E-2</v>
      </c>
      <c r="H62">
        <f>Table2[[#This Row],[Price]]/(1+Table2[[#This Row],[7d]]/100)</f>
        <v>0.10690222146103583</v>
      </c>
      <c r="I62" s="6" t="str">
        <f t="shared" si="7"/>
        <v>0-5 USD</v>
      </c>
      <c r="J62" s="6" t="str">
        <f t="shared" si="8"/>
        <v>0.05 - 0.5</v>
      </c>
      <c r="K62" s="6">
        <f t="shared" si="9"/>
        <v>-7.4451643599999997</v>
      </c>
    </row>
    <row r="63" spans="1:11" x14ac:dyDescent="0.35">
      <c r="A63" t="s">
        <v>117</v>
      </c>
      <c r="B63">
        <v>6.8102435766992597</v>
      </c>
      <c r="C63">
        <v>-0.50503843000000004</v>
      </c>
      <c r="D63">
        <v>-2.04068607</v>
      </c>
      <c r="E63">
        <v>-14.9413863</v>
      </c>
      <c r="F63">
        <f t="shared" si="5"/>
        <v>6.8448125103379143</v>
      </c>
      <c r="G63">
        <f t="shared" si="6"/>
        <v>6.6740472246799927</v>
      </c>
      <c r="H63">
        <f>Table2[[#This Row],[Price]]/(1+Table2[[#This Row],[7d]]/100)</f>
        <v>8.006530180140075</v>
      </c>
      <c r="I63" s="6" t="str">
        <f t="shared" si="7"/>
        <v>Above 5 USD</v>
      </c>
      <c r="J63" s="6" t="str">
        <f t="shared" si="8"/>
        <v>5 - 50</v>
      </c>
      <c r="K63" s="6">
        <f t="shared" si="9"/>
        <v>-5.8290369333333336</v>
      </c>
    </row>
    <row r="64" spans="1:11" x14ac:dyDescent="0.35">
      <c r="A64" t="s">
        <v>139</v>
      </c>
      <c r="B64">
        <v>9.2104994702983563E-3</v>
      </c>
      <c r="C64">
        <v>3.4490460000000001E-2</v>
      </c>
      <c r="D64">
        <v>-4.6883962199999996</v>
      </c>
      <c r="E64">
        <v>-6.9845569200000002</v>
      </c>
      <c r="F64">
        <f t="shared" si="5"/>
        <v>9.2073238219584734E-3</v>
      </c>
      <c r="G64">
        <f t="shared" si="6"/>
        <v>8.7980137272737728E-3</v>
      </c>
      <c r="H64">
        <f>Table2[[#This Row],[Price]]/(1+Table2[[#This Row],[7d]]/100)</f>
        <v>9.9021185787145707E-3</v>
      </c>
      <c r="I64" s="6" t="str">
        <f t="shared" si="7"/>
        <v>0-5 USD</v>
      </c>
      <c r="J64" s="6" t="str">
        <f t="shared" si="8"/>
        <v>0 - 0.05</v>
      </c>
      <c r="K64" s="6">
        <f t="shared" si="9"/>
        <v>-3.8794875599999998</v>
      </c>
    </row>
    <row r="65" spans="1:11" x14ac:dyDescent="0.35">
      <c r="A65" t="s">
        <v>115</v>
      </c>
      <c r="B65">
        <v>0.95536859761374782</v>
      </c>
      <c r="C65">
        <v>-0.47556168999999998</v>
      </c>
      <c r="D65">
        <v>-4.2400807499999997</v>
      </c>
      <c r="E65">
        <v>-24.528712179999999</v>
      </c>
      <c r="F65">
        <f t="shared" si="5"/>
        <v>0.95993367441869248</v>
      </c>
      <c r="G65">
        <f t="shared" si="6"/>
        <v>0.91650792165541162</v>
      </c>
      <c r="H65">
        <f>Table2[[#This Row],[Price]]/(1+Table2[[#This Row],[7d]]/100)</f>
        <v>1.2658702735963832</v>
      </c>
      <c r="I65" s="6" t="str">
        <f t="shared" si="7"/>
        <v>0-5 USD</v>
      </c>
      <c r="J65" s="6" t="str">
        <f t="shared" si="8"/>
        <v>0.5 - 5</v>
      </c>
      <c r="K65" s="6">
        <f t="shared" si="9"/>
        <v>-9.7481182066666658</v>
      </c>
    </row>
    <row r="66" spans="1:11" x14ac:dyDescent="0.35">
      <c r="A66" t="s">
        <v>127</v>
      </c>
      <c r="B66">
        <v>3.119812013408787</v>
      </c>
      <c r="C66">
        <v>-0.30872885</v>
      </c>
      <c r="D66">
        <v>-4.7893773599999996</v>
      </c>
      <c r="E66">
        <v>-26.149816959999999</v>
      </c>
      <c r="F66">
        <f t="shared" ref="F66:F97" si="10">B66/(1+C66/100)</f>
        <v>3.1294736012690385</v>
      </c>
      <c r="G66">
        <f t="shared" ref="G66:G97" si="11">B66/(1-D66/100)</f>
        <v>2.9772216344895237</v>
      </c>
      <c r="H66">
        <f>Table2[[#This Row],[Price]]/(1+Table2[[#This Row],[7d]]/100)</f>
        <v>4.2245149368404151</v>
      </c>
      <c r="I66" s="6" t="str">
        <f t="shared" ref="I66:I97" si="12">IF(AND(B66&gt;=0,B66&lt;=5),"0-5 USD","Above 5 USD")</f>
        <v>0-5 USD</v>
      </c>
      <c r="J66" s="6" t="str">
        <f t="shared" ref="J66:J97" si="13">IF(B66&lt;=0.05,"0 - 0.05",
IF(B66&lt;=0.5,"0.05 - 0.5",
IF(B66&lt;=5,"0.5 - 5",
IF(B66&lt;=50,"5 - 50",
"&gt; 50"))))</f>
        <v>0.5 - 5</v>
      </c>
      <c r="K66" s="6">
        <f t="shared" ref="K66:K97" si="14">AVERAGE(C66,D66,E66)</f>
        <v>-10.415974390000001</v>
      </c>
    </row>
    <row r="67" spans="1:11" x14ac:dyDescent="0.35">
      <c r="A67" t="s">
        <v>145</v>
      </c>
      <c r="B67">
        <v>1.000366894530115</v>
      </c>
      <c r="C67">
        <v>4.3989979999999998E-2</v>
      </c>
      <c r="D67">
        <v>6.0635750000000002E-2</v>
      </c>
      <c r="E67">
        <v>9.4146880000000002E-2</v>
      </c>
      <c r="F67">
        <f t="shared" si="10"/>
        <v>0.99992702683099743</v>
      </c>
      <c r="G67">
        <f t="shared" si="11"/>
        <v>1.0009738425268349</v>
      </c>
      <c r="H67">
        <f>Table2[[#This Row],[Price]]/(1+Table2[[#This Row],[7d]]/100)</f>
        <v>0.99942596616506074</v>
      </c>
      <c r="I67" s="6" t="str">
        <f t="shared" si="12"/>
        <v>0-5 USD</v>
      </c>
      <c r="J67" s="6" t="str">
        <f t="shared" si="13"/>
        <v>0.5 - 5</v>
      </c>
      <c r="K67" s="6">
        <f t="shared" si="14"/>
        <v>6.6257536666666672E-2</v>
      </c>
    </row>
    <row r="68" spans="1:11" x14ac:dyDescent="0.35">
      <c r="A68" t="s">
        <v>147</v>
      </c>
      <c r="B68">
        <v>3.5147277096234483E-2</v>
      </c>
      <c r="C68">
        <v>6.1694529999999997E-2</v>
      </c>
      <c r="D68">
        <v>-2.8845718200000001</v>
      </c>
      <c r="E68">
        <v>-3.4758138299999999</v>
      </c>
      <c r="F68">
        <f t="shared" si="10"/>
        <v>3.5125606518383319E-2</v>
      </c>
      <c r="G68">
        <f t="shared" si="11"/>
        <v>3.4161853885853577E-2</v>
      </c>
      <c r="H68">
        <f>Table2[[#This Row],[Price]]/(1+Table2[[#This Row],[7d]]/100)</f>
        <v>3.6412922492122871E-2</v>
      </c>
      <c r="I68" s="6" t="str">
        <f t="shared" si="12"/>
        <v>0-5 USD</v>
      </c>
      <c r="J68" s="6" t="str">
        <f t="shared" si="13"/>
        <v>0 - 0.05</v>
      </c>
      <c r="K68" s="6">
        <f t="shared" si="14"/>
        <v>-2.0995637066666668</v>
      </c>
    </row>
    <row r="69" spans="1:11" x14ac:dyDescent="0.35">
      <c r="A69" t="s">
        <v>159</v>
      </c>
      <c r="B69">
        <v>2.307681322161578</v>
      </c>
      <c r="C69">
        <v>2.1352056199999998</v>
      </c>
      <c r="D69">
        <v>19.1501512</v>
      </c>
      <c r="E69">
        <v>25.13062936</v>
      </c>
      <c r="F69">
        <f t="shared" si="10"/>
        <v>2.2594376817993993</v>
      </c>
      <c r="G69">
        <f t="shared" si="11"/>
        <v>2.854280318903426</v>
      </c>
      <c r="H69">
        <f>Table2[[#This Row],[Price]]/(1+Table2[[#This Row],[7d]]/100)</f>
        <v>1.8442177858167677</v>
      </c>
      <c r="I69" s="6" t="str">
        <f t="shared" si="12"/>
        <v>0-5 USD</v>
      </c>
      <c r="J69" s="6" t="str">
        <f t="shared" si="13"/>
        <v>0.5 - 5</v>
      </c>
      <c r="K69" s="6">
        <f t="shared" si="14"/>
        <v>15.471995393333335</v>
      </c>
    </row>
    <row r="70" spans="1:11" x14ac:dyDescent="0.35">
      <c r="A70" t="s">
        <v>125</v>
      </c>
      <c r="B70">
        <v>1.8507287056221721E-3</v>
      </c>
      <c r="C70">
        <v>-0.48234779</v>
      </c>
      <c r="D70">
        <v>-6.01690799</v>
      </c>
      <c r="E70">
        <v>-21.300289289999998</v>
      </c>
      <c r="F70">
        <f t="shared" si="10"/>
        <v>1.8596989222744167E-3</v>
      </c>
      <c r="G70">
        <f t="shared" si="11"/>
        <v>1.7456920228203043E-3</v>
      </c>
      <c r="H70">
        <f>Table2[[#This Row],[Price]]/(1+Table2[[#This Row],[7d]]/100)</f>
        <v>2.3516334290502147E-3</v>
      </c>
      <c r="I70" s="6" t="str">
        <f t="shared" si="12"/>
        <v>0-5 USD</v>
      </c>
      <c r="J70" s="6" t="str">
        <f t="shared" si="13"/>
        <v>0 - 0.05</v>
      </c>
      <c r="K70" s="6">
        <f t="shared" si="14"/>
        <v>-9.2665150233333335</v>
      </c>
    </row>
    <row r="71" spans="1:11" x14ac:dyDescent="0.35">
      <c r="A71" t="s">
        <v>135</v>
      </c>
      <c r="B71">
        <v>0.8648881992558225</v>
      </c>
      <c r="C71">
        <v>-0.66262103999999999</v>
      </c>
      <c r="D71">
        <v>-5.76054127</v>
      </c>
      <c r="E71">
        <v>-20.972457429999999</v>
      </c>
      <c r="F71">
        <f t="shared" si="10"/>
        <v>0.87065735809688061</v>
      </c>
      <c r="G71">
        <f t="shared" si="11"/>
        <v>0.81777966420180981</v>
      </c>
      <c r="H71">
        <f>Table2[[#This Row],[Price]]/(1+Table2[[#This Row],[7d]]/100)</f>
        <v>1.0944136324240792</v>
      </c>
      <c r="I71" s="6" t="str">
        <f t="shared" si="12"/>
        <v>0-5 USD</v>
      </c>
      <c r="J71" s="6" t="str">
        <f t="shared" si="13"/>
        <v>0.5 - 5</v>
      </c>
      <c r="K71" s="6">
        <f t="shared" si="14"/>
        <v>-9.1318732466666663</v>
      </c>
    </row>
    <row r="72" spans="1:11" x14ac:dyDescent="0.35">
      <c r="A72" t="s">
        <v>133</v>
      </c>
      <c r="B72">
        <v>1.246317164819658</v>
      </c>
      <c r="C72">
        <v>-0.57772281000000003</v>
      </c>
      <c r="D72">
        <v>-5.1521251100000001</v>
      </c>
      <c r="E72">
        <v>-19.580894350000001</v>
      </c>
      <c r="F72">
        <f t="shared" si="10"/>
        <v>1.2535592626166623</v>
      </c>
      <c r="G72">
        <f t="shared" si="11"/>
        <v>1.1852515234626797</v>
      </c>
      <c r="H72">
        <f>Table2[[#This Row],[Price]]/(1+Table2[[#This Row],[7d]]/100)</f>
        <v>1.5497774499555854</v>
      </c>
      <c r="I72" s="6" t="str">
        <f t="shared" si="12"/>
        <v>0-5 USD</v>
      </c>
      <c r="J72" s="6" t="str">
        <f t="shared" si="13"/>
        <v>0.5 - 5</v>
      </c>
      <c r="K72" s="6">
        <f t="shared" si="14"/>
        <v>-8.4369140900000001</v>
      </c>
    </row>
    <row r="73" spans="1:11" x14ac:dyDescent="0.35">
      <c r="A73" t="s">
        <v>141</v>
      </c>
      <c r="B73">
        <v>7.4300902876487376E-3</v>
      </c>
      <c r="C73">
        <v>-0.24043733</v>
      </c>
      <c r="D73">
        <v>-3.7011489000000002</v>
      </c>
      <c r="E73">
        <v>-12.87875309</v>
      </c>
      <c r="F73">
        <f t="shared" si="10"/>
        <v>7.4479980553113804E-3</v>
      </c>
      <c r="G73">
        <f t="shared" si="11"/>
        <v>7.1649064320527872E-3</v>
      </c>
      <c r="H73">
        <f>Table2[[#This Row],[Price]]/(1+Table2[[#This Row],[7d]]/100)</f>
        <v>8.5284480550701265E-3</v>
      </c>
      <c r="I73" s="6" t="str">
        <f t="shared" si="12"/>
        <v>0-5 USD</v>
      </c>
      <c r="J73" s="6" t="str">
        <f t="shared" si="13"/>
        <v>0 - 0.05</v>
      </c>
      <c r="K73" s="6">
        <f t="shared" si="14"/>
        <v>-5.6067797733333338</v>
      </c>
    </row>
    <row r="74" spans="1:11" x14ac:dyDescent="0.35">
      <c r="A74" t="s">
        <v>129</v>
      </c>
      <c r="B74">
        <v>0.10632922116298039</v>
      </c>
      <c r="C74">
        <v>-0.32393378</v>
      </c>
      <c r="D74">
        <v>-2.53828041</v>
      </c>
      <c r="E74">
        <v>-21.600392020000001</v>
      </c>
      <c r="F74">
        <f t="shared" si="10"/>
        <v>0.10667477679977447</v>
      </c>
      <c r="G74">
        <f t="shared" si="11"/>
        <v>0.10369709803774971</v>
      </c>
      <c r="H74">
        <f>Table2[[#This Row],[Price]]/(1+Table2[[#This Row],[7d]]/100)</f>
        <v>0.13562468474345604</v>
      </c>
      <c r="I74" s="6" t="str">
        <f t="shared" si="12"/>
        <v>0-5 USD</v>
      </c>
      <c r="J74" s="6" t="str">
        <f t="shared" si="13"/>
        <v>0.05 - 0.5</v>
      </c>
      <c r="K74" s="6">
        <f t="shared" si="14"/>
        <v>-8.1542020700000002</v>
      </c>
    </row>
    <row r="75" spans="1:11" x14ac:dyDescent="0.35">
      <c r="A75" t="s">
        <v>161</v>
      </c>
      <c r="B75">
        <v>0.79344319889207571</v>
      </c>
      <c r="C75">
        <v>-1.1359404500000001</v>
      </c>
      <c r="D75">
        <v>-5.1069224699999998</v>
      </c>
      <c r="E75">
        <v>-1.45677879</v>
      </c>
      <c r="F75">
        <f t="shared" si="10"/>
        <v>0.80255980029911256</v>
      </c>
      <c r="G75">
        <f t="shared" si="11"/>
        <v>0.75489147645678922</v>
      </c>
      <c r="H75">
        <f>Table2[[#This Row],[Price]]/(1+Table2[[#This Row],[7d]]/100)</f>
        <v>0.80517278525045666</v>
      </c>
      <c r="I75" s="6" t="str">
        <f t="shared" si="12"/>
        <v>0-5 USD</v>
      </c>
      <c r="J75" s="6" t="str">
        <f t="shared" si="13"/>
        <v>0.5 - 5</v>
      </c>
      <c r="K75" s="6">
        <f t="shared" si="14"/>
        <v>-2.5665472366666666</v>
      </c>
    </row>
    <row r="76" spans="1:11" x14ac:dyDescent="0.35">
      <c r="A76" t="s">
        <v>149</v>
      </c>
      <c r="B76">
        <v>5.7457243528504051E-6</v>
      </c>
      <c r="C76">
        <v>-0.31095719999999999</v>
      </c>
      <c r="D76">
        <v>-4.4539371699999997</v>
      </c>
      <c r="E76">
        <v>-19.584091260000001</v>
      </c>
      <c r="F76">
        <f t="shared" si="10"/>
        <v>5.763646827643534E-6</v>
      </c>
      <c r="G76">
        <f t="shared" si="11"/>
        <v>5.5007254953914965E-6</v>
      </c>
      <c r="H76">
        <f>Table2[[#This Row],[Price]]/(1+Table2[[#This Row],[7d]]/100)</f>
        <v>7.1450095421136509E-6</v>
      </c>
      <c r="I76" s="6" t="str">
        <f t="shared" si="12"/>
        <v>0-5 USD</v>
      </c>
      <c r="J76" s="6" t="str">
        <f t="shared" si="13"/>
        <v>0 - 0.05</v>
      </c>
      <c r="K76" s="6">
        <f t="shared" si="14"/>
        <v>-8.1163285433333332</v>
      </c>
    </row>
    <row r="77" spans="1:11" x14ac:dyDescent="0.35">
      <c r="A77" t="s">
        <v>175</v>
      </c>
      <c r="B77">
        <v>0.99863403188952038</v>
      </c>
      <c r="C77">
        <v>1.8094550000000001E-2</v>
      </c>
      <c r="D77">
        <v>4.7508580000000002E-2</v>
      </c>
      <c r="E77">
        <v>9.3162209999999995E-2</v>
      </c>
      <c r="F77">
        <f t="shared" si="10"/>
        <v>0.99845336624593839</v>
      </c>
      <c r="G77">
        <f t="shared" si="11"/>
        <v>0.99910869424281168</v>
      </c>
      <c r="H77">
        <f>Table2[[#This Row],[Price]]/(1+Table2[[#This Row],[7d]]/100)</f>
        <v>0.99770454828306943</v>
      </c>
      <c r="I77" s="6" t="str">
        <f t="shared" si="12"/>
        <v>0-5 USD</v>
      </c>
      <c r="J77" s="6" t="str">
        <f t="shared" si="13"/>
        <v>0.5 - 5</v>
      </c>
      <c r="K77" s="6">
        <f t="shared" si="14"/>
        <v>5.2921780000000002E-2</v>
      </c>
    </row>
    <row r="78" spans="1:11" x14ac:dyDescent="0.35">
      <c r="A78" t="s">
        <v>155</v>
      </c>
      <c r="B78">
        <v>7.0216119373594149E-2</v>
      </c>
      <c r="C78">
        <v>-0.13670563999999999</v>
      </c>
      <c r="D78">
        <v>-3.6009281099999999</v>
      </c>
      <c r="E78">
        <v>-18.628705830000001</v>
      </c>
      <c r="F78">
        <f t="shared" si="10"/>
        <v>7.0312240171518964E-2</v>
      </c>
      <c r="G78">
        <f t="shared" si="11"/>
        <v>6.7775569827946941E-2</v>
      </c>
      <c r="H78">
        <f>Table2[[#This Row],[Price]]/(1+Table2[[#This Row],[7d]]/100)</f>
        <v>8.6291019566309732E-2</v>
      </c>
      <c r="I78" s="6" t="str">
        <f t="shared" si="12"/>
        <v>0-5 USD</v>
      </c>
      <c r="J78" s="6" t="str">
        <f t="shared" si="13"/>
        <v>0.05 - 0.5</v>
      </c>
      <c r="K78" s="6">
        <f t="shared" si="14"/>
        <v>-7.455446526666667</v>
      </c>
    </row>
    <row r="79" spans="1:11" x14ac:dyDescent="0.35">
      <c r="A79" t="s">
        <v>191</v>
      </c>
      <c r="B79">
        <v>1.192157153370474</v>
      </c>
      <c r="C79">
        <v>4.3126079999999997E-2</v>
      </c>
      <c r="D79">
        <v>0.15825891</v>
      </c>
      <c r="E79">
        <v>0.93646048000000004</v>
      </c>
      <c r="F79">
        <f t="shared" si="10"/>
        <v>1.1916432443516003</v>
      </c>
      <c r="G79">
        <f t="shared" si="11"/>
        <v>1.1940468388825789</v>
      </c>
      <c r="H79">
        <f>Table2[[#This Row],[Price]]/(1+Table2[[#This Row],[7d]]/100)</f>
        <v>1.1810966500125031</v>
      </c>
      <c r="I79" s="6" t="str">
        <f t="shared" si="12"/>
        <v>0-5 USD</v>
      </c>
      <c r="J79" s="6" t="str">
        <f t="shared" si="13"/>
        <v>0.5 - 5</v>
      </c>
      <c r="K79" s="6">
        <f t="shared" si="14"/>
        <v>0.37928182333333332</v>
      </c>
    </row>
    <row r="80" spans="1:11" x14ac:dyDescent="0.35">
      <c r="A80" t="s">
        <v>171</v>
      </c>
      <c r="B80">
        <v>0.24689532952124141</v>
      </c>
      <c r="C80">
        <v>-0.72073821000000005</v>
      </c>
      <c r="D80">
        <v>-2.9634115599999999</v>
      </c>
      <c r="E80">
        <v>-17.611638809999999</v>
      </c>
      <c r="F80">
        <f t="shared" si="10"/>
        <v>0.2486877169206653</v>
      </c>
      <c r="G80">
        <f t="shared" si="11"/>
        <v>0.2397893832192689</v>
      </c>
      <c r="H80">
        <f>Table2[[#This Row],[Price]]/(1+Table2[[#This Row],[7d]]/100)</f>
        <v>0.29967258233461336</v>
      </c>
      <c r="I80" s="6" t="str">
        <f t="shared" si="12"/>
        <v>0-5 USD</v>
      </c>
      <c r="J80" s="6" t="str">
        <f t="shared" si="13"/>
        <v>0.05 - 0.5</v>
      </c>
      <c r="K80" s="6">
        <f t="shared" si="14"/>
        <v>-7.098596193333333</v>
      </c>
    </row>
    <row r="81" spans="1:11" x14ac:dyDescent="0.35">
      <c r="A81" t="s">
        <v>157</v>
      </c>
      <c r="B81">
        <v>0.13810190956719989</v>
      </c>
      <c r="C81">
        <v>-0.12687551</v>
      </c>
      <c r="D81">
        <v>-5.5923430099999996</v>
      </c>
      <c r="E81">
        <v>-27.178618149999998</v>
      </c>
      <c r="F81">
        <f t="shared" si="10"/>
        <v>0.13827734965979524</v>
      </c>
      <c r="G81">
        <f t="shared" si="11"/>
        <v>0.13078780679591617</v>
      </c>
      <c r="H81">
        <f>Table2[[#This Row],[Price]]/(1+Table2[[#This Row],[7d]]/100)</f>
        <v>0.18964472529739546</v>
      </c>
      <c r="I81" s="6" t="str">
        <f t="shared" si="12"/>
        <v>0-5 USD</v>
      </c>
      <c r="J81" s="6" t="str">
        <f t="shared" si="13"/>
        <v>0.05 - 0.5</v>
      </c>
      <c r="K81" s="6">
        <f t="shared" si="14"/>
        <v>-10.965945556666666</v>
      </c>
    </row>
    <row r="82" spans="1:11" x14ac:dyDescent="0.35">
      <c r="A82" t="s">
        <v>257</v>
      </c>
      <c r="B82">
        <v>0.43835936280541982</v>
      </c>
      <c r="C82">
        <v>-4.7164908199999998</v>
      </c>
      <c r="D82">
        <v>24.37316195</v>
      </c>
      <c r="E82">
        <v>150.40996651</v>
      </c>
      <c r="F82">
        <f t="shared" si="10"/>
        <v>0.46005795397114885</v>
      </c>
      <c r="G82">
        <f t="shared" si="11"/>
        <v>0.57963465630495159</v>
      </c>
      <c r="H82">
        <f>Table2[[#This Row],[Price]]/(1+Table2[[#This Row],[7d]]/100)</f>
        <v>0.17505667562473562</v>
      </c>
      <c r="I82" s="6" t="str">
        <f t="shared" si="12"/>
        <v>0-5 USD</v>
      </c>
      <c r="J82" s="6" t="str">
        <f t="shared" si="13"/>
        <v>0.05 - 0.5</v>
      </c>
      <c r="K82" s="6">
        <f t="shared" si="14"/>
        <v>56.688879213333337</v>
      </c>
    </row>
    <row r="83" spans="1:11" x14ac:dyDescent="0.35">
      <c r="A83" t="s">
        <v>163</v>
      </c>
      <c r="B83">
        <v>1.2656174921367569</v>
      </c>
      <c r="C83">
        <v>-0.71686528999999999</v>
      </c>
      <c r="D83">
        <v>-4.8252968799999998</v>
      </c>
      <c r="E83">
        <v>-19.92190991</v>
      </c>
      <c r="F83">
        <f t="shared" si="10"/>
        <v>1.2747557738114823</v>
      </c>
      <c r="G83">
        <f t="shared" si="11"/>
        <v>1.2073588435295228</v>
      </c>
      <c r="H83">
        <f>Table2[[#This Row],[Price]]/(1+Table2[[#This Row],[7d]]/100)</f>
        <v>1.5804791182136408</v>
      </c>
      <c r="I83" s="6" t="str">
        <f t="shared" si="12"/>
        <v>0-5 USD</v>
      </c>
      <c r="J83" s="6" t="str">
        <f t="shared" si="13"/>
        <v>0.5 - 5</v>
      </c>
      <c r="K83" s="6">
        <f t="shared" si="14"/>
        <v>-8.4880240266666664</v>
      </c>
    </row>
    <row r="84" spans="1:11" x14ac:dyDescent="0.35">
      <c r="A84" t="s">
        <v>167</v>
      </c>
      <c r="B84">
        <v>0.38727092982202782</v>
      </c>
      <c r="C84">
        <v>-0.90364071000000001</v>
      </c>
      <c r="D84">
        <v>-3.4665612700000001</v>
      </c>
      <c r="E84">
        <v>-19.069884389999999</v>
      </c>
      <c r="F84">
        <f t="shared" si="10"/>
        <v>0.39080237921627464</v>
      </c>
      <c r="G84">
        <f t="shared" si="11"/>
        <v>0.37429573870869193</v>
      </c>
      <c r="H84">
        <f>Table2[[#This Row],[Price]]/(1+Table2[[#This Row],[7d]]/100)</f>
        <v>0.47852511627226113</v>
      </c>
      <c r="I84" s="6" t="str">
        <f t="shared" si="12"/>
        <v>0-5 USD</v>
      </c>
      <c r="J84" s="6" t="str">
        <f t="shared" si="13"/>
        <v>0.05 - 0.5</v>
      </c>
      <c r="K84" s="6">
        <f t="shared" si="14"/>
        <v>-7.8133621233333335</v>
      </c>
    </row>
    <row r="85" spans="1:11" x14ac:dyDescent="0.35">
      <c r="A85" t="s">
        <v>151</v>
      </c>
      <c r="B85">
        <v>32.852839505765701</v>
      </c>
      <c r="C85">
        <v>-1.7178388899999999</v>
      </c>
      <c r="D85">
        <v>-6.6738093799999998</v>
      </c>
      <c r="E85">
        <v>-22.60200034</v>
      </c>
      <c r="F85">
        <f t="shared" si="10"/>
        <v>33.427062586664057</v>
      </c>
      <c r="G85">
        <f t="shared" si="11"/>
        <v>30.797474747278685</v>
      </c>
      <c r="H85">
        <f>Table2[[#This Row],[Price]]/(1+Table2[[#This Row],[7d]]/100)</f>
        <v>42.446626075718015</v>
      </c>
      <c r="I85" s="6" t="str">
        <f t="shared" si="12"/>
        <v>Above 5 USD</v>
      </c>
      <c r="J85" s="6" t="str">
        <f t="shared" si="13"/>
        <v>5 - 50</v>
      </c>
      <c r="K85" s="6">
        <f t="shared" si="14"/>
        <v>-10.331216203333334</v>
      </c>
    </row>
    <row r="86" spans="1:11" x14ac:dyDescent="0.35">
      <c r="A86" t="s">
        <v>185</v>
      </c>
      <c r="B86">
        <v>1.0872839700579451</v>
      </c>
      <c r="C86">
        <v>-0.37318814</v>
      </c>
      <c r="D86">
        <v>-4.16790986</v>
      </c>
      <c r="E86">
        <v>-16.5861792</v>
      </c>
      <c r="F86">
        <f t="shared" si="10"/>
        <v>1.0913567841414464</v>
      </c>
      <c r="G86">
        <f t="shared" si="11"/>
        <v>1.0437801540985485</v>
      </c>
      <c r="H86">
        <f>Table2[[#This Row],[Price]]/(1+Table2[[#This Row],[7d]]/100)</f>
        <v>1.3034817966975865</v>
      </c>
      <c r="I86" s="6" t="str">
        <f t="shared" si="12"/>
        <v>0-5 USD</v>
      </c>
      <c r="J86" s="6" t="str">
        <f t="shared" si="13"/>
        <v>0.5 - 5</v>
      </c>
      <c r="K86" s="6">
        <f t="shared" si="14"/>
        <v>-7.0424257333333342</v>
      </c>
    </row>
    <row r="87" spans="1:11" x14ac:dyDescent="0.35">
      <c r="A87" t="s">
        <v>248</v>
      </c>
      <c r="B87">
        <v>23.113544626231281</v>
      </c>
      <c r="C87">
        <v>-0.24907196000000001</v>
      </c>
      <c r="D87">
        <v>-7.83763057</v>
      </c>
      <c r="E87">
        <v>15.82783437</v>
      </c>
      <c r="F87">
        <f t="shared" si="10"/>
        <v>23.171257732021079</v>
      </c>
      <c r="G87">
        <f t="shared" si="11"/>
        <v>21.433654007473507</v>
      </c>
      <c r="H87">
        <f>Table2[[#This Row],[Price]]/(1+Table2[[#This Row],[7d]]/100)</f>
        <v>19.955086574784314</v>
      </c>
      <c r="I87" s="6" t="str">
        <f t="shared" si="12"/>
        <v>Above 5 USD</v>
      </c>
      <c r="J87" s="6" t="str">
        <f t="shared" si="13"/>
        <v>5 - 50</v>
      </c>
      <c r="K87" s="6">
        <f t="shared" si="14"/>
        <v>2.58037728</v>
      </c>
    </row>
    <row r="88" spans="1:11" x14ac:dyDescent="0.35">
      <c r="A88" t="s">
        <v>173</v>
      </c>
      <c r="B88">
        <v>3.8502086255255107E-2</v>
      </c>
      <c r="C88">
        <v>-0.47867208</v>
      </c>
      <c r="D88">
        <v>-1.1227845400000001</v>
      </c>
      <c r="E88">
        <v>-15.202730949999999</v>
      </c>
      <c r="F88">
        <f t="shared" si="10"/>
        <v>3.8687271422066356E-2</v>
      </c>
      <c r="G88">
        <f t="shared" si="11"/>
        <v>3.8074590637904422E-2</v>
      </c>
      <c r="H88">
        <f>Table2[[#This Row],[Price]]/(1+Table2[[#This Row],[7d]]/100)</f>
        <v>4.5404865848395037E-2</v>
      </c>
      <c r="I88" s="6" t="str">
        <f t="shared" si="12"/>
        <v>0-5 USD</v>
      </c>
      <c r="J88" s="6" t="str">
        <f t="shared" si="13"/>
        <v>0 - 0.05</v>
      </c>
      <c r="K88" s="6">
        <f t="shared" si="14"/>
        <v>-5.6013958566666666</v>
      </c>
    </row>
    <row r="89" spans="1:11" x14ac:dyDescent="0.35">
      <c r="A89" t="s">
        <v>183</v>
      </c>
      <c r="B89">
        <v>0.9985629134277707</v>
      </c>
      <c r="C89">
        <v>-1.0180460000000001E-2</v>
      </c>
      <c r="D89">
        <v>7.2424000000000004E-3</v>
      </c>
      <c r="E89">
        <v>0.11981321</v>
      </c>
      <c r="F89">
        <f t="shared" si="10"/>
        <v>0.99866458207608311</v>
      </c>
      <c r="G89">
        <f t="shared" si="11"/>
        <v>0.99863523858629</v>
      </c>
      <c r="H89">
        <f>Table2[[#This Row],[Price]]/(1+Table2[[#This Row],[7d]]/100)</f>
        <v>0.99736793488946884</v>
      </c>
      <c r="I89" s="6" t="str">
        <f t="shared" si="12"/>
        <v>0-5 USD</v>
      </c>
      <c r="J89" s="6" t="str">
        <f t="shared" si="13"/>
        <v>0.5 - 5</v>
      </c>
      <c r="K89" s="6">
        <f t="shared" si="14"/>
        <v>3.8958383333333332E-2</v>
      </c>
    </row>
    <row r="90" spans="1:11" x14ac:dyDescent="0.35">
      <c r="A90" t="s">
        <v>153</v>
      </c>
      <c r="B90">
        <v>1.1214963887865399</v>
      </c>
      <c r="C90">
        <v>-0.88715299000000003</v>
      </c>
      <c r="D90">
        <v>-4.6705742700000004</v>
      </c>
      <c r="E90">
        <v>-18.022863990000001</v>
      </c>
      <c r="F90">
        <f t="shared" si="10"/>
        <v>1.1315348338983606</v>
      </c>
      <c r="G90">
        <f t="shared" si="11"/>
        <v>1.0714533636680124</v>
      </c>
      <c r="H90">
        <f>Table2[[#This Row],[Price]]/(1+Table2[[#This Row],[7d]]/100)</f>
        <v>1.3680599779061982</v>
      </c>
      <c r="I90" s="6" t="str">
        <f t="shared" si="12"/>
        <v>0-5 USD</v>
      </c>
      <c r="J90" s="6" t="str">
        <f t="shared" si="13"/>
        <v>0.5 - 5</v>
      </c>
      <c r="K90" s="6">
        <f t="shared" si="14"/>
        <v>-7.8601970833333334</v>
      </c>
    </row>
    <row r="91" spans="1:11" x14ac:dyDescent="0.35">
      <c r="A91" t="s">
        <v>143</v>
      </c>
      <c r="B91">
        <v>19.811739203916741</v>
      </c>
      <c r="C91">
        <v>0.64349738999999995</v>
      </c>
      <c r="D91">
        <v>20.417884860000001</v>
      </c>
      <c r="E91">
        <v>27.030929189999998</v>
      </c>
      <c r="F91">
        <f t="shared" si="10"/>
        <v>19.685066315953808</v>
      </c>
      <c r="G91">
        <f t="shared" si="11"/>
        <v>24.894713050870969</v>
      </c>
      <c r="H91">
        <f>Table2[[#This Row],[Price]]/(1+Table2[[#This Row],[7d]]/100)</f>
        <v>15.595996447671693</v>
      </c>
      <c r="I91" s="6" t="str">
        <f t="shared" si="12"/>
        <v>Above 5 USD</v>
      </c>
      <c r="J91" s="6" t="str">
        <f t="shared" si="13"/>
        <v>5 - 50</v>
      </c>
      <c r="K91" s="6">
        <f t="shared" si="14"/>
        <v>16.030770480000001</v>
      </c>
    </row>
    <row r="92" spans="1:11" x14ac:dyDescent="0.35">
      <c r="A92" t="s">
        <v>169</v>
      </c>
      <c r="B92">
        <v>0.1749841199388438</v>
      </c>
      <c r="C92">
        <v>-0.51651568000000003</v>
      </c>
      <c r="D92">
        <v>-4.2010008299999999</v>
      </c>
      <c r="E92">
        <v>-22.65362124</v>
      </c>
      <c r="F92">
        <f t="shared" si="10"/>
        <v>0.17589263296808882</v>
      </c>
      <c r="G92">
        <f t="shared" si="11"/>
        <v>0.16792940427158065</v>
      </c>
      <c r="H92">
        <f>Table2[[#This Row],[Price]]/(1+Table2[[#This Row],[7d]]/100)</f>
        <v>0.22623440520959148</v>
      </c>
      <c r="I92" s="6" t="str">
        <f t="shared" si="12"/>
        <v>0-5 USD</v>
      </c>
      <c r="J92" s="6" t="str">
        <f t="shared" si="13"/>
        <v>0.05 - 0.5</v>
      </c>
      <c r="K92" s="6">
        <f t="shared" si="14"/>
        <v>-9.123712583333333</v>
      </c>
    </row>
    <row r="93" spans="1:11" x14ac:dyDescent="0.35">
      <c r="A93" t="s">
        <v>165</v>
      </c>
      <c r="B93">
        <v>5.8634486462185616E-3</v>
      </c>
      <c r="C93">
        <v>-0.65140861999999999</v>
      </c>
      <c r="D93">
        <v>-5.0215550999999996</v>
      </c>
      <c r="E93">
        <v>-22.172805539999999</v>
      </c>
      <c r="F93">
        <f t="shared" si="10"/>
        <v>5.9018940930841831E-3</v>
      </c>
      <c r="G93">
        <f t="shared" si="11"/>
        <v>5.5830906718487179E-3</v>
      </c>
      <c r="H93">
        <f>Table2[[#This Row],[Price]]/(1+Table2[[#This Row],[7d]]/100)</f>
        <v>7.5339329483759491E-3</v>
      </c>
      <c r="I93" s="6" t="str">
        <f t="shared" si="12"/>
        <v>0-5 USD</v>
      </c>
      <c r="J93" s="6" t="str">
        <f t="shared" si="13"/>
        <v>0 - 0.05</v>
      </c>
      <c r="K93" s="6">
        <f t="shared" si="14"/>
        <v>-9.2819230866666658</v>
      </c>
    </row>
    <row r="94" spans="1:11" x14ac:dyDescent="0.35">
      <c r="A94" t="s">
        <v>187</v>
      </c>
      <c r="B94">
        <v>2.0590646146786039E-2</v>
      </c>
      <c r="C94">
        <v>-0.90612546000000005</v>
      </c>
      <c r="D94">
        <v>-4.1406861299999997</v>
      </c>
      <c r="E94">
        <v>-22.74870992</v>
      </c>
      <c r="F94">
        <f t="shared" si="10"/>
        <v>2.0778929315630367E-2</v>
      </c>
      <c r="G94">
        <f t="shared" si="11"/>
        <v>1.9771951685705721E-2</v>
      </c>
      <c r="H94">
        <f>Table2[[#This Row],[Price]]/(1+Table2[[#This Row],[7d]]/100)</f>
        <v>2.6654112993404703E-2</v>
      </c>
      <c r="I94" s="6" t="str">
        <f t="shared" si="12"/>
        <v>0-5 USD</v>
      </c>
      <c r="J94" s="6" t="str">
        <f t="shared" si="13"/>
        <v>0 - 0.05</v>
      </c>
      <c r="K94" s="6">
        <f t="shared" si="14"/>
        <v>-9.2651738366666674</v>
      </c>
    </row>
    <row r="95" spans="1:11" x14ac:dyDescent="0.35">
      <c r="A95" t="s">
        <v>202</v>
      </c>
      <c r="B95">
        <v>4.0510311416757629E-2</v>
      </c>
      <c r="C95">
        <v>-9.6083950000000001E-2</v>
      </c>
      <c r="D95">
        <v>-6.3699296299999997</v>
      </c>
      <c r="E95">
        <v>-1.27454383</v>
      </c>
      <c r="F95">
        <f t="shared" si="10"/>
        <v>4.0549272759721443E-2</v>
      </c>
      <c r="G95">
        <f t="shared" si="11"/>
        <v>3.8084364216155617E-2</v>
      </c>
      <c r="H95">
        <f>Table2[[#This Row],[Price]]/(1+Table2[[#This Row],[7d]]/100)</f>
        <v>4.1033298794792117E-2</v>
      </c>
      <c r="I95" s="6" t="str">
        <f t="shared" si="12"/>
        <v>0-5 USD</v>
      </c>
      <c r="J95" s="6" t="str">
        <f t="shared" si="13"/>
        <v>0 - 0.05</v>
      </c>
      <c r="K95" s="6">
        <f t="shared" si="14"/>
        <v>-2.5801858033333329</v>
      </c>
    </row>
    <row r="96" spans="1:11" x14ac:dyDescent="0.35">
      <c r="A96" t="s">
        <v>177</v>
      </c>
      <c r="B96">
        <v>0.53628450388455706</v>
      </c>
      <c r="C96">
        <v>-1.0868862100000001</v>
      </c>
      <c r="D96">
        <v>-4.1790805799999999</v>
      </c>
      <c r="E96">
        <v>-17.540710109999999</v>
      </c>
      <c r="F96">
        <f t="shared" si="10"/>
        <v>0.54217735478748508</v>
      </c>
      <c r="G96">
        <f t="shared" si="11"/>
        <v>0.51477177653985884</v>
      </c>
      <c r="H96">
        <f>Table2[[#This Row],[Price]]/(1+Table2[[#This Row],[7d]]/100)</f>
        <v>0.65036274821182194</v>
      </c>
      <c r="I96" s="6" t="str">
        <f t="shared" si="12"/>
        <v>0-5 USD</v>
      </c>
      <c r="J96" s="6" t="str">
        <f t="shared" si="13"/>
        <v>0.5 - 5</v>
      </c>
      <c r="K96" s="6">
        <f t="shared" si="14"/>
        <v>-7.6022256333333331</v>
      </c>
    </row>
    <row r="97" spans="1:11" x14ac:dyDescent="0.35">
      <c r="A97" t="s">
        <v>196</v>
      </c>
      <c r="B97">
        <v>1.404529329030306</v>
      </c>
      <c r="C97">
        <v>-0.48524430000000002</v>
      </c>
      <c r="D97">
        <v>-4.35476565</v>
      </c>
      <c r="E97">
        <v>-7.1181616099999996</v>
      </c>
      <c r="F97">
        <f t="shared" si="10"/>
        <v>1.4113779601333092</v>
      </c>
      <c r="G97">
        <f t="shared" si="11"/>
        <v>1.3459177645427505</v>
      </c>
      <c r="H97">
        <f>Table2[[#This Row],[Price]]/(1+Table2[[#This Row],[7d]]/100)</f>
        <v>1.5121678827381206</v>
      </c>
      <c r="I97" s="6" t="str">
        <f t="shared" si="12"/>
        <v>0-5 USD</v>
      </c>
      <c r="J97" s="6" t="str">
        <f t="shared" si="13"/>
        <v>0.5 - 5</v>
      </c>
      <c r="K97" s="6">
        <f t="shared" si="14"/>
        <v>-3.9860571866666668</v>
      </c>
    </row>
    <row r="98" spans="1:11" x14ac:dyDescent="0.35">
      <c r="A98" t="s">
        <v>179</v>
      </c>
      <c r="B98">
        <v>0.1509454100785329</v>
      </c>
      <c r="C98">
        <v>-0.58333508000000001</v>
      </c>
      <c r="D98">
        <v>-3.4557898499999999</v>
      </c>
      <c r="E98">
        <v>-18.084881580000001</v>
      </c>
      <c r="F98">
        <f t="shared" ref="F98:F129" si="15">B98/(1+C98/100)</f>
        <v>0.15183109411284093</v>
      </c>
      <c r="G98">
        <f t="shared" ref="G98:G129" si="16">B98/(1-D98/100)</f>
        <v>0.14590329869153565</v>
      </c>
      <c r="H98">
        <f>Table2[[#This Row],[Price]]/(1+Table2[[#This Row],[7d]]/100)</f>
        <v>0.18427051439344413</v>
      </c>
      <c r="I98" s="6" t="str">
        <f t="shared" ref="I98:I129" si="17">IF(AND(B98&gt;=0,B98&lt;=5),"0-5 USD","Above 5 USD")</f>
        <v>0-5 USD</v>
      </c>
      <c r="J98" s="6" t="str">
        <f t="shared" ref="J98:J129" si="18">IF(B98&lt;=0.05,"0 - 0.05",
IF(B98&lt;=0.5,"0.05 - 0.5",
IF(B98&lt;=5,"0.5 - 5",
IF(B98&lt;=50,"5 - 50",
"&gt; 50"))))</f>
        <v>0.05 - 0.5</v>
      </c>
      <c r="K98" s="6">
        <f t="shared" ref="K98:K129" si="19">AVERAGE(C98,D98,E98)</f>
        <v>-7.3746688366666673</v>
      </c>
    </row>
    <row r="99" spans="1:11" x14ac:dyDescent="0.35">
      <c r="A99" t="s">
        <v>230</v>
      </c>
      <c r="B99">
        <v>0.14108161209114081</v>
      </c>
      <c r="C99">
        <v>-0.88579428999999998</v>
      </c>
      <c r="D99">
        <v>-7.6632075999999998</v>
      </c>
      <c r="E99">
        <v>25.00042882</v>
      </c>
      <c r="F99">
        <f t="shared" si="15"/>
        <v>0.14234247359448551</v>
      </c>
      <c r="G99">
        <f t="shared" si="16"/>
        <v>0.13103976301291323</v>
      </c>
      <c r="H99">
        <f>Table2[[#This Row],[Price]]/(1+Table2[[#This Row],[7d]]/100)</f>
        <v>0.11286490248309279</v>
      </c>
      <c r="I99" s="6" t="str">
        <f t="shared" si="17"/>
        <v>0-5 USD</v>
      </c>
      <c r="J99" s="6" t="str">
        <f t="shared" si="18"/>
        <v>0.05 - 0.5</v>
      </c>
      <c r="K99" s="6">
        <f t="shared" si="19"/>
        <v>5.4838089766666664</v>
      </c>
    </row>
    <row r="100" spans="1:11" x14ac:dyDescent="0.35">
      <c r="A100" t="s">
        <v>215</v>
      </c>
      <c r="B100">
        <v>5.3595729553100088E-2</v>
      </c>
      <c r="C100">
        <v>0.3840787</v>
      </c>
      <c r="D100">
        <v>-0.44229858999999999</v>
      </c>
      <c r="E100">
        <v>-10.83080949</v>
      </c>
      <c r="F100">
        <f t="shared" si="15"/>
        <v>5.3390667371936637E-2</v>
      </c>
      <c r="G100">
        <f t="shared" si="16"/>
        <v>5.3359720262750002E-2</v>
      </c>
      <c r="H100">
        <f>Table2[[#This Row],[Price]]/(1+Table2[[#This Row],[7d]]/100)</f>
        <v>6.0105658968710188E-2</v>
      </c>
      <c r="I100" s="6" t="str">
        <f t="shared" si="17"/>
        <v>0-5 USD</v>
      </c>
      <c r="J100" s="6" t="str">
        <f t="shared" si="18"/>
        <v>0.05 - 0.5</v>
      </c>
      <c r="K100" s="6">
        <f t="shared" si="19"/>
        <v>-3.6296764600000002</v>
      </c>
    </row>
    <row r="101" spans="1:11" x14ac:dyDescent="0.35">
      <c r="A101" t="s">
        <v>181</v>
      </c>
      <c r="B101">
        <v>0.22637362445304729</v>
      </c>
      <c r="C101">
        <v>-0.15528676</v>
      </c>
      <c r="D101">
        <v>-7.59189778</v>
      </c>
      <c r="E101">
        <v>-20.40432564</v>
      </c>
      <c r="F101">
        <f t="shared" si="15"/>
        <v>0.22672569944580401</v>
      </c>
      <c r="G101">
        <f t="shared" si="16"/>
        <v>0.21040025236466026</v>
      </c>
      <c r="H101">
        <f>Table2[[#This Row],[Price]]/(1+Table2[[#This Row],[7d]]/100)</f>
        <v>0.28440443060911996</v>
      </c>
      <c r="I101" s="6" t="str">
        <f t="shared" si="17"/>
        <v>0-5 USD</v>
      </c>
      <c r="J101" s="6" t="str">
        <f t="shared" si="18"/>
        <v>0.05 - 0.5</v>
      </c>
      <c r="K101" s="6">
        <f t="shared" si="19"/>
        <v>-9.3838367266666669</v>
      </c>
    </row>
    <row r="102" spans="1:11" x14ac:dyDescent="0.35">
      <c r="A102" t="s">
        <v>206</v>
      </c>
      <c r="B102">
        <v>3.3106487986011809E-7</v>
      </c>
      <c r="C102">
        <v>0.11810759999999999</v>
      </c>
      <c r="D102">
        <v>-3.3365031699999999</v>
      </c>
      <c r="E102">
        <v>-5.1182819899999998</v>
      </c>
      <c r="F102">
        <f t="shared" si="15"/>
        <v>3.3067432834709124E-7</v>
      </c>
      <c r="G102">
        <f t="shared" si="16"/>
        <v>3.2037553981817991E-7</v>
      </c>
      <c r="H102">
        <f>Table2[[#This Row],[Price]]/(1+Table2[[#This Row],[7d]]/100)</f>
        <v>3.4892378300446216E-7</v>
      </c>
      <c r="I102" s="6" t="str">
        <f t="shared" si="17"/>
        <v>0-5 USD</v>
      </c>
      <c r="J102" s="6" t="str">
        <f t="shared" si="18"/>
        <v>0 - 0.05</v>
      </c>
      <c r="K102" s="6">
        <f t="shared" si="19"/>
        <v>-2.7788925199999999</v>
      </c>
    </row>
    <row r="103" spans="1:11" x14ac:dyDescent="0.35">
      <c r="A103" t="s">
        <v>271</v>
      </c>
      <c r="B103">
        <v>0.17837744332761951</v>
      </c>
      <c r="C103">
        <v>-0.97671949999999996</v>
      </c>
      <c r="D103">
        <v>2.5932835399999998</v>
      </c>
      <c r="E103">
        <v>19.692439</v>
      </c>
      <c r="F103">
        <f t="shared" si="15"/>
        <v>0.18013687531551686</v>
      </c>
      <c r="G103">
        <f t="shared" si="16"/>
        <v>0.18312643091800562</v>
      </c>
      <c r="H103">
        <f>Table2[[#This Row],[Price]]/(1+Table2[[#This Row],[7d]]/100)</f>
        <v>0.14902983414651574</v>
      </c>
      <c r="I103" s="6" t="str">
        <f t="shared" si="17"/>
        <v>0-5 USD</v>
      </c>
      <c r="J103" s="6" t="str">
        <f t="shared" si="18"/>
        <v>0.05 - 0.5</v>
      </c>
      <c r="K103" s="6">
        <f t="shared" si="19"/>
        <v>7.1030010133333334</v>
      </c>
    </row>
    <row r="104" spans="1:11" x14ac:dyDescent="0.35">
      <c r="A104" t="s">
        <v>225</v>
      </c>
      <c r="B104">
        <v>120.76652611799931</v>
      </c>
      <c r="C104">
        <v>-0.20182232</v>
      </c>
      <c r="D104">
        <v>-3.1030221</v>
      </c>
      <c r="E104">
        <v>4.1942955299999998</v>
      </c>
      <c r="F104">
        <f t="shared" si="15"/>
        <v>121.01075282680382</v>
      </c>
      <c r="G104">
        <f t="shared" si="16"/>
        <v>117.13189745385679</v>
      </c>
      <c r="H104">
        <f>Table2[[#This Row],[Price]]/(1+Table2[[#This Row],[7d]]/100)</f>
        <v>115.90512273604055</v>
      </c>
      <c r="I104" s="6" t="str">
        <f t="shared" si="17"/>
        <v>Above 5 USD</v>
      </c>
      <c r="J104" s="6" t="str">
        <f t="shared" si="18"/>
        <v>&gt; 50</v>
      </c>
      <c r="K104" s="6">
        <f t="shared" si="19"/>
        <v>0.29648370333333318</v>
      </c>
    </row>
    <row r="105" spans="1:11" x14ac:dyDescent="0.35">
      <c r="A105" t="s">
        <v>210</v>
      </c>
      <c r="B105">
        <v>1.6547357627381579E-2</v>
      </c>
      <c r="C105">
        <v>-0.40144846000000001</v>
      </c>
      <c r="D105">
        <v>-0.49014168000000002</v>
      </c>
      <c r="E105">
        <v>-11.647352059999999</v>
      </c>
      <c r="F105">
        <f t="shared" si="15"/>
        <v>1.6614054493288448E-2</v>
      </c>
      <c r="G105">
        <f t="shared" si="16"/>
        <v>1.6466647723589498E-2</v>
      </c>
      <c r="H105">
        <f>Table2[[#This Row],[Price]]/(1+Table2[[#This Row],[7d]]/100)</f>
        <v>1.8728762536487687E-2</v>
      </c>
      <c r="I105" s="6" t="str">
        <f t="shared" si="17"/>
        <v>0-5 USD</v>
      </c>
      <c r="J105" s="6" t="str">
        <f t="shared" si="18"/>
        <v>0 - 0.05</v>
      </c>
      <c r="K105" s="6">
        <f t="shared" si="19"/>
        <v>-4.1796473999999995</v>
      </c>
    </row>
    <row r="106" spans="1:11" x14ac:dyDescent="0.35">
      <c r="A106" t="s">
        <v>200</v>
      </c>
      <c r="B106">
        <v>0.26728397248088998</v>
      </c>
      <c r="C106">
        <v>-0.39810609000000002</v>
      </c>
      <c r="D106">
        <v>-3.7725876500000002</v>
      </c>
      <c r="E106">
        <v>-13.43490227</v>
      </c>
      <c r="F106">
        <f t="shared" si="15"/>
        <v>0.26835229932716648</v>
      </c>
      <c r="G106">
        <f t="shared" si="16"/>
        <v>0.25756703049785612</v>
      </c>
      <c r="H106">
        <f>Table2[[#This Row],[Price]]/(1+Table2[[#This Row],[7d]]/100)</f>
        <v>0.30876644223814009</v>
      </c>
      <c r="I106" s="6" t="str">
        <f t="shared" si="17"/>
        <v>0-5 USD</v>
      </c>
      <c r="J106" s="6" t="str">
        <f t="shared" si="18"/>
        <v>0.05 - 0.5</v>
      </c>
      <c r="K106" s="6">
        <f t="shared" si="19"/>
        <v>-5.8685320033333328</v>
      </c>
    </row>
    <row r="107" spans="1:11" x14ac:dyDescent="0.35">
      <c r="A107" t="s">
        <v>223</v>
      </c>
      <c r="B107">
        <v>3.1108117322919438E-7</v>
      </c>
      <c r="C107">
        <v>-0.14278034000000001</v>
      </c>
      <c r="D107">
        <v>-1.5953808899999999</v>
      </c>
      <c r="E107">
        <v>-7.9675474299999998</v>
      </c>
      <c r="F107">
        <f t="shared" si="15"/>
        <v>3.1152597106987628E-7</v>
      </c>
      <c r="G107">
        <f t="shared" si="16"/>
        <v>3.0619617792073654E-7</v>
      </c>
      <c r="H107">
        <f>Table2[[#This Row],[Price]]/(1+Table2[[#This Row],[7d]]/100)</f>
        <v>3.3801247771006172E-7</v>
      </c>
      <c r="I107" s="6" t="str">
        <f t="shared" si="17"/>
        <v>0-5 USD</v>
      </c>
      <c r="J107" s="6" t="str">
        <f t="shared" si="18"/>
        <v>0 - 0.05</v>
      </c>
      <c r="K107" s="6">
        <f t="shared" si="19"/>
        <v>-3.2352362199999996</v>
      </c>
    </row>
    <row r="108" spans="1:11" x14ac:dyDescent="0.35">
      <c r="A108" t="s">
        <v>208</v>
      </c>
      <c r="B108">
        <v>0.4304352448880982</v>
      </c>
      <c r="C108">
        <v>-0.17802377</v>
      </c>
      <c r="D108">
        <v>-0.76652334</v>
      </c>
      <c r="E108">
        <v>-15.164589339999999</v>
      </c>
      <c r="F108">
        <f t="shared" si="15"/>
        <v>0.43120288852660216</v>
      </c>
      <c r="G108">
        <f t="shared" si="16"/>
        <v>0.42716095645748431</v>
      </c>
      <c r="H108">
        <f>Table2[[#This Row],[Price]]/(1+Table2[[#This Row],[7d]]/100)</f>
        <v>0.50737686249104108</v>
      </c>
      <c r="I108" s="6" t="str">
        <f t="shared" si="17"/>
        <v>0-5 USD</v>
      </c>
      <c r="J108" s="6" t="str">
        <f t="shared" si="18"/>
        <v>0.05 - 0.5</v>
      </c>
      <c r="K108" s="6">
        <f t="shared" si="19"/>
        <v>-5.3697121499999989</v>
      </c>
    </row>
    <row r="109" spans="1:11" x14ac:dyDescent="0.35">
      <c r="A109" t="s">
        <v>194</v>
      </c>
      <c r="B109">
        <v>2.9598353696711581</v>
      </c>
      <c r="C109">
        <v>-0.52201682999999999</v>
      </c>
      <c r="D109">
        <v>-3.17807233</v>
      </c>
      <c r="E109">
        <v>-18.53883021</v>
      </c>
      <c r="F109">
        <f t="shared" si="15"/>
        <v>2.9753672876670949</v>
      </c>
      <c r="G109">
        <f t="shared" si="16"/>
        <v>2.8686670557330793</v>
      </c>
      <c r="H109">
        <f>Table2[[#This Row],[Price]]/(1+Table2[[#This Row],[7d]]/100)</f>
        <v>3.6334309675411771</v>
      </c>
      <c r="I109" s="6" t="str">
        <f t="shared" si="17"/>
        <v>0-5 USD</v>
      </c>
      <c r="J109" s="6" t="str">
        <f t="shared" si="18"/>
        <v>0.5 - 5</v>
      </c>
      <c r="K109" s="6">
        <f t="shared" si="19"/>
        <v>-7.4129731233333338</v>
      </c>
    </row>
    <row r="110" spans="1:11" x14ac:dyDescent="0.35">
      <c r="A110" t="s">
        <v>192</v>
      </c>
      <c r="B110">
        <v>0.1476508045447785</v>
      </c>
      <c r="C110">
        <v>-0.48499239999999999</v>
      </c>
      <c r="D110">
        <v>-3.96328368</v>
      </c>
      <c r="E110">
        <v>-19.037453459999998</v>
      </c>
      <c r="F110">
        <f t="shared" si="15"/>
        <v>0.14837038965847246</v>
      </c>
      <c r="G110">
        <f t="shared" si="16"/>
        <v>0.14202206713597956</v>
      </c>
      <c r="H110">
        <f>Table2[[#This Row],[Price]]/(1+Table2[[#This Row],[7d]]/100)</f>
        <v>0.18236926931619027</v>
      </c>
      <c r="I110" s="6" t="str">
        <f t="shared" si="17"/>
        <v>0-5 USD</v>
      </c>
      <c r="J110" s="6" t="str">
        <f t="shared" si="18"/>
        <v>0.05 - 0.5</v>
      </c>
      <c r="K110" s="6">
        <f t="shared" si="19"/>
        <v>-7.8285765133333323</v>
      </c>
    </row>
    <row r="111" spans="1:11" x14ac:dyDescent="0.35">
      <c r="A111" t="s">
        <v>227</v>
      </c>
      <c r="B111">
        <v>6.4724017150110766E-2</v>
      </c>
      <c r="C111">
        <v>-0.74218687000000005</v>
      </c>
      <c r="D111">
        <v>-3.6320324400000001</v>
      </c>
      <c r="E111">
        <v>-14.72286218</v>
      </c>
      <c r="F111">
        <f t="shared" si="15"/>
        <v>6.5207982232431808E-2</v>
      </c>
      <c r="G111">
        <f t="shared" si="16"/>
        <v>6.2455609164651024E-2</v>
      </c>
      <c r="H111">
        <f>Table2[[#This Row],[Price]]/(1+Table2[[#This Row],[7d]]/100)</f>
        <v>7.5898439845305268E-2</v>
      </c>
      <c r="I111" s="6" t="str">
        <f t="shared" si="17"/>
        <v>0-5 USD</v>
      </c>
      <c r="J111" s="6" t="str">
        <f t="shared" si="18"/>
        <v>0.05 - 0.5</v>
      </c>
      <c r="K111" s="6">
        <f t="shared" si="19"/>
        <v>-6.3656938300000006</v>
      </c>
    </row>
    <row r="112" spans="1:11" x14ac:dyDescent="0.35">
      <c r="A112" t="s">
        <v>198</v>
      </c>
      <c r="B112">
        <v>0.32333264642340648</v>
      </c>
      <c r="C112">
        <v>-0.87403682999999999</v>
      </c>
      <c r="D112">
        <v>-5.0935908100000002</v>
      </c>
      <c r="E112">
        <v>-22.237405460000002</v>
      </c>
      <c r="F112">
        <f t="shared" si="15"/>
        <v>0.32618361131976531</v>
      </c>
      <c r="G112">
        <f t="shared" si="16"/>
        <v>0.30766162230384109</v>
      </c>
      <c r="H112">
        <f>Table2[[#This Row],[Price]]/(1+Table2[[#This Row],[7d]]/100)</f>
        <v>0.41579457107374246</v>
      </c>
      <c r="I112" s="6" t="str">
        <f t="shared" si="17"/>
        <v>0-5 USD</v>
      </c>
      <c r="J112" s="6" t="str">
        <f t="shared" si="18"/>
        <v>0.05 - 0.5</v>
      </c>
      <c r="K112" s="6">
        <f t="shared" si="19"/>
        <v>-9.4016777000000005</v>
      </c>
    </row>
    <row r="113" spans="1:11" x14ac:dyDescent="0.35">
      <c r="A113" t="s">
        <v>232</v>
      </c>
      <c r="B113">
        <v>13.62369836033956</v>
      </c>
      <c r="C113">
        <v>0.22647862999999999</v>
      </c>
      <c r="D113">
        <v>-2.5496257199999999</v>
      </c>
      <c r="E113">
        <v>-9.8149884400000005</v>
      </c>
      <c r="F113">
        <f t="shared" si="15"/>
        <v>13.592913316483301</v>
      </c>
      <c r="G113">
        <f t="shared" si="16"/>
        <v>13.284981066179128</v>
      </c>
      <c r="H113">
        <f>Table2[[#This Row],[Price]]/(1+Table2[[#This Row],[7d]]/100)</f>
        <v>15.106388661131042</v>
      </c>
      <c r="I113" s="6" t="str">
        <f t="shared" si="17"/>
        <v>Above 5 USD</v>
      </c>
      <c r="J113" s="6" t="str">
        <f t="shared" si="18"/>
        <v>5 - 50</v>
      </c>
      <c r="K113" s="6">
        <f t="shared" si="19"/>
        <v>-4.0460451766666665</v>
      </c>
    </row>
    <row r="114" spans="1:11" x14ac:dyDescent="0.35">
      <c r="A114" t="s">
        <v>217</v>
      </c>
      <c r="B114">
        <v>2.5414054955931301E-2</v>
      </c>
      <c r="C114">
        <v>-0.66542818999999997</v>
      </c>
      <c r="D114">
        <v>-3.18362883</v>
      </c>
      <c r="E114">
        <v>-14.29712784</v>
      </c>
      <c r="F114">
        <f t="shared" si="15"/>
        <v>2.5584300101017671E-2</v>
      </c>
      <c r="G114">
        <f t="shared" si="16"/>
        <v>2.4629929422042503E-2</v>
      </c>
      <c r="H114">
        <f>Table2[[#This Row],[Price]]/(1+Table2[[#This Row],[7d]]/100)</f>
        <v>2.9653679410516623E-2</v>
      </c>
      <c r="I114" s="6" t="str">
        <f t="shared" si="17"/>
        <v>0-5 USD</v>
      </c>
      <c r="J114" s="6" t="str">
        <f t="shared" si="18"/>
        <v>0 - 0.05</v>
      </c>
      <c r="K114" s="6">
        <f t="shared" si="19"/>
        <v>-6.0487282866666661</v>
      </c>
    </row>
    <row r="115" spans="1:11" x14ac:dyDescent="0.35">
      <c r="A115" t="s">
        <v>212</v>
      </c>
      <c r="B115">
        <v>2.852167287786689E-5</v>
      </c>
      <c r="C115">
        <v>-0.73130808999999997</v>
      </c>
      <c r="D115">
        <v>-3.7961998399999999</v>
      </c>
      <c r="E115">
        <v>-18.60843169</v>
      </c>
      <c r="F115">
        <f t="shared" si="15"/>
        <v>2.8731790788303631E-5</v>
      </c>
      <c r="G115">
        <f t="shared" si="16"/>
        <v>2.7478532857496269E-5</v>
      </c>
      <c r="H115">
        <f>Table2[[#This Row],[Price]]/(1+Table2[[#This Row],[7d]]/100)</f>
        <v>3.5042539995340809E-5</v>
      </c>
      <c r="I115" s="6" t="str">
        <f t="shared" si="17"/>
        <v>0-5 USD</v>
      </c>
      <c r="J115" s="6" t="str">
        <f t="shared" si="18"/>
        <v>0 - 0.05</v>
      </c>
      <c r="K115" s="6">
        <f t="shared" si="19"/>
        <v>-7.7119798733333331</v>
      </c>
    </row>
    <row r="116" spans="1:11" x14ac:dyDescent="0.35">
      <c r="A116" t="s">
        <v>221</v>
      </c>
      <c r="B116">
        <v>0.30013543771096562</v>
      </c>
      <c r="C116">
        <v>-1.10310793</v>
      </c>
      <c r="D116">
        <v>-5.8348437100000003</v>
      </c>
      <c r="E116">
        <v>-19.575291119999999</v>
      </c>
      <c r="F116">
        <f t="shared" si="15"/>
        <v>0.30348318478858505</v>
      </c>
      <c r="G116">
        <f t="shared" si="16"/>
        <v>0.28358849239988698</v>
      </c>
      <c r="H116">
        <f>Table2[[#This Row],[Price]]/(1+Table2[[#This Row],[7d]]/100)</f>
        <v>0.37318809342386472</v>
      </c>
      <c r="I116" s="6" t="str">
        <f t="shared" si="17"/>
        <v>0-5 USD</v>
      </c>
      <c r="J116" s="6" t="str">
        <f t="shared" si="18"/>
        <v>0.05 - 0.5</v>
      </c>
      <c r="K116" s="6">
        <f t="shared" si="19"/>
        <v>-8.8377475866666675</v>
      </c>
    </row>
    <row r="117" spans="1:11" x14ac:dyDescent="0.35">
      <c r="A117" t="s">
        <v>238</v>
      </c>
      <c r="B117">
        <v>5.3313298846273663E-3</v>
      </c>
      <c r="C117">
        <v>-0.77512862000000005</v>
      </c>
      <c r="D117">
        <v>-3.63549056</v>
      </c>
      <c r="E117">
        <v>-12.143526509999999</v>
      </c>
      <c r="F117">
        <f t="shared" si="15"/>
        <v>5.3729773699681127E-3</v>
      </c>
      <c r="G117">
        <f t="shared" si="16"/>
        <v>5.1443090159743882E-3</v>
      </c>
      <c r="H117">
        <f>Table2[[#This Row],[Price]]/(1+Table2[[#This Row],[7d]]/100)</f>
        <v>6.0682265891701071E-3</v>
      </c>
      <c r="I117" s="6" t="str">
        <f t="shared" si="17"/>
        <v>0-5 USD</v>
      </c>
      <c r="J117" s="6" t="str">
        <f t="shared" si="18"/>
        <v>0 - 0.05</v>
      </c>
      <c r="K117" s="6">
        <f t="shared" si="19"/>
        <v>-5.5180485633333332</v>
      </c>
    </row>
    <row r="118" spans="1:11" x14ac:dyDescent="0.35">
      <c r="A118" t="s">
        <v>204</v>
      </c>
      <c r="B118">
        <v>0.28748840724311048</v>
      </c>
      <c r="C118">
        <v>-0.87556358000000001</v>
      </c>
      <c r="D118">
        <v>-4.3398525599999997</v>
      </c>
      <c r="E118">
        <v>-23.421458869999999</v>
      </c>
      <c r="F118">
        <f t="shared" si="15"/>
        <v>0.29002778489957187</v>
      </c>
      <c r="G118">
        <f t="shared" si="16"/>
        <v>0.27553077773211537</v>
      </c>
      <c r="H118">
        <f>Table2[[#This Row],[Price]]/(1+Table2[[#This Row],[7d]]/100)</f>
        <v>0.37541640647746105</v>
      </c>
      <c r="I118" s="6" t="str">
        <f t="shared" si="17"/>
        <v>0-5 USD</v>
      </c>
      <c r="J118" s="6" t="str">
        <f t="shared" si="18"/>
        <v>0.05 - 0.5</v>
      </c>
      <c r="K118" s="6">
        <f t="shared" si="19"/>
        <v>-9.545625003333333</v>
      </c>
    </row>
    <row r="119" spans="1:11" x14ac:dyDescent="0.35">
      <c r="A119" t="s">
        <v>246</v>
      </c>
      <c r="B119">
        <v>0.28052541689211002</v>
      </c>
      <c r="C119">
        <v>-0.7276357</v>
      </c>
      <c r="D119">
        <v>-1.565401</v>
      </c>
      <c r="E119">
        <v>-9.5708274400000004</v>
      </c>
      <c r="F119">
        <f t="shared" si="15"/>
        <v>0.28258158135970779</v>
      </c>
      <c r="G119">
        <f t="shared" si="16"/>
        <v>0.27620175190575974</v>
      </c>
      <c r="H119">
        <f>Table2[[#This Row],[Price]]/(1+Table2[[#This Row],[7d]]/100)</f>
        <v>0.31021561842333639</v>
      </c>
      <c r="I119" s="6" t="str">
        <f t="shared" si="17"/>
        <v>0-5 USD</v>
      </c>
      <c r="J119" s="6" t="str">
        <f t="shared" si="18"/>
        <v>0.05 - 0.5</v>
      </c>
      <c r="K119" s="6">
        <f t="shared" si="19"/>
        <v>-3.9546213800000003</v>
      </c>
    </row>
    <row r="120" spans="1:11" x14ac:dyDescent="0.35">
      <c r="A120" t="s">
        <v>189</v>
      </c>
      <c r="B120">
        <v>7.3771277428032175E-2</v>
      </c>
      <c r="C120">
        <v>-1.88130099</v>
      </c>
      <c r="D120">
        <v>-7.7614303099999997</v>
      </c>
      <c r="E120">
        <v>-32.298373349999999</v>
      </c>
      <c r="F120">
        <f t="shared" si="15"/>
        <v>7.5185747642774595E-2</v>
      </c>
      <c r="G120">
        <f t="shared" si="16"/>
        <v>6.8457960529859793E-2</v>
      </c>
      <c r="H120">
        <f>Table2[[#This Row],[Price]]/(1+Table2[[#This Row],[7d]]/100)</f>
        <v>0.10896529533833907</v>
      </c>
      <c r="I120" s="6" t="str">
        <f t="shared" si="17"/>
        <v>0-5 USD</v>
      </c>
      <c r="J120" s="6" t="str">
        <f t="shared" si="18"/>
        <v>0.05 - 0.5</v>
      </c>
      <c r="K120" s="6">
        <f t="shared" si="19"/>
        <v>-13.980368216666667</v>
      </c>
    </row>
    <row r="121" spans="1:11" x14ac:dyDescent="0.35">
      <c r="A121" t="s">
        <v>242</v>
      </c>
      <c r="B121">
        <v>2.637174289712788E-3</v>
      </c>
      <c r="C121">
        <v>0.10032968</v>
      </c>
      <c r="D121">
        <v>-6.8325511600000004</v>
      </c>
      <c r="E121">
        <v>-9.0291363600000007</v>
      </c>
      <c r="F121">
        <f t="shared" si="15"/>
        <v>2.6345310731176286E-3</v>
      </c>
      <c r="G121">
        <f t="shared" si="16"/>
        <v>2.4685119479765762E-3</v>
      </c>
      <c r="H121">
        <f>Table2[[#This Row],[Price]]/(1+Table2[[#This Row],[7d]]/100)</f>
        <v>2.898921901136288E-3</v>
      </c>
      <c r="I121" s="6" t="str">
        <f t="shared" si="17"/>
        <v>0-5 USD</v>
      </c>
      <c r="J121" s="6" t="str">
        <f t="shared" si="18"/>
        <v>0 - 0.05</v>
      </c>
      <c r="K121" s="6">
        <f t="shared" si="19"/>
        <v>-5.2537859466666674</v>
      </c>
    </row>
    <row r="122" spans="1:11" x14ac:dyDescent="0.35">
      <c r="A122" t="s">
        <v>213</v>
      </c>
      <c r="B122">
        <v>1.468109233759088</v>
      </c>
      <c r="C122">
        <v>-1.1947332399999999</v>
      </c>
      <c r="D122">
        <v>-2.3706475600000001</v>
      </c>
      <c r="E122">
        <v>-7.2936291300000002</v>
      </c>
      <c r="F122">
        <f t="shared" si="15"/>
        <v>1.4858613127629676</v>
      </c>
      <c r="G122">
        <f t="shared" si="16"/>
        <v>1.4341115043729904</v>
      </c>
      <c r="H122">
        <f>Table2[[#This Row],[Price]]/(1+Table2[[#This Row],[7d]]/100)</f>
        <v>1.5836120214626712</v>
      </c>
      <c r="I122" s="6" t="str">
        <f t="shared" si="17"/>
        <v>0-5 USD</v>
      </c>
      <c r="J122" s="6" t="str">
        <f t="shared" si="18"/>
        <v>0.5 - 5</v>
      </c>
      <c r="K122" s="6">
        <f t="shared" si="19"/>
        <v>-3.6196699766666662</v>
      </c>
    </row>
    <row r="123" spans="1:11" x14ac:dyDescent="0.35">
      <c r="A123" t="s">
        <v>228</v>
      </c>
      <c r="B123">
        <v>4.2805932677062043E-2</v>
      </c>
      <c r="C123">
        <v>-0.31035172</v>
      </c>
      <c r="D123">
        <v>-4.79848973</v>
      </c>
      <c r="E123">
        <v>-15.073092920000001</v>
      </c>
      <c r="F123">
        <f t="shared" si="15"/>
        <v>4.2939195207944057E-2</v>
      </c>
      <c r="G123">
        <f t="shared" si="16"/>
        <v>4.0845944237694727E-2</v>
      </c>
      <c r="H123">
        <f>Table2[[#This Row],[Price]]/(1+Table2[[#This Row],[7d]]/100)</f>
        <v>5.0403263404776334E-2</v>
      </c>
      <c r="I123" s="6" t="str">
        <f t="shared" si="17"/>
        <v>0-5 USD</v>
      </c>
      <c r="J123" s="6" t="str">
        <f t="shared" si="18"/>
        <v>0 - 0.05</v>
      </c>
      <c r="K123" s="6">
        <f t="shared" si="19"/>
        <v>-6.7273114566666665</v>
      </c>
    </row>
    <row r="124" spans="1:11" x14ac:dyDescent="0.35">
      <c r="A124" t="s">
        <v>234</v>
      </c>
      <c r="B124">
        <v>4.4579949550779249E-2</v>
      </c>
      <c r="C124">
        <v>-0.26051481999999998</v>
      </c>
      <c r="D124">
        <v>-5.5656648400000002</v>
      </c>
      <c r="E124">
        <v>-20.75861299</v>
      </c>
      <c r="F124">
        <f t="shared" si="15"/>
        <v>4.4696390271441393E-2</v>
      </c>
      <c r="G124">
        <f t="shared" si="16"/>
        <v>4.2229591996930625E-2</v>
      </c>
      <c r="H124">
        <f>Table2[[#This Row],[Price]]/(1+Table2[[#This Row],[7d]]/100)</f>
        <v>5.6258416507971282E-2</v>
      </c>
      <c r="I124" s="6" t="str">
        <f t="shared" si="17"/>
        <v>0-5 USD</v>
      </c>
      <c r="J124" s="6" t="str">
        <f t="shared" si="18"/>
        <v>0 - 0.05</v>
      </c>
      <c r="K124" s="6">
        <f t="shared" si="19"/>
        <v>-8.8615975500000008</v>
      </c>
    </row>
    <row r="125" spans="1:11" x14ac:dyDescent="0.35">
      <c r="A125" t="s">
        <v>254</v>
      </c>
      <c r="B125">
        <v>2.3449140046801222E-3</v>
      </c>
      <c r="C125">
        <v>-0.18439063</v>
      </c>
      <c r="D125">
        <v>-3.5448061100000001</v>
      </c>
      <c r="E125">
        <v>-15.08264571</v>
      </c>
      <c r="F125">
        <f t="shared" si="15"/>
        <v>2.3492457937995576E-3</v>
      </c>
      <c r="G125">
        <f t="shared" si="16"/>
        <v>2.26463701345775E-3</v>
      </c>
      <c r="H125">
        <f>Table2[[#This Row],[Price]]/(1+Table2[[#This Row],[7d]]/100)</f>
        <v>2.7614072815693729E-3</v>
      </c>
      <c r="I125" s="6" t="str">
        <f t="shared" si="17"/>
        <v>0-5 USD</v>
      </c>
      <c r="J125" s="6" t="str">
        <f t="shared" si="18"/>
        <v>0 - 0.05</v>
      </c>
      <c r="K125" s="6">
        <f t="shared" si="19"/>
        <v>-6.2706141500000001</v>
      </c>
    </row>
    <row r="126" spans="1:11" x14ac:dyDescent="0.35">
      <c r="A126" t="s">
        <v>236</v>
      </c>
      <c r="B126">
        <v>4.4046327149890069E-2</v>
      </c>
      <c r="C126">
        <v>-0.68285938000000002</v>
      </c>
      <c r="D126">
        <v>-4.3615240200000001</v>
      </c>
      <c r="E126">
        <v>-21.043696090000001</v>
      </c>
      <c r="F126">
        <f t="shared" si="15"/>
        <v>4.4349169614555171E-2</v>
      </c>
      <c r="G126">
        <f t="shared" si="16"/>
        <v>4.2205523121192599E-2</v>
      </c>
      <c r="H126">
        <f>Table2[[#This Row],[Price]]/(1+Table2[[#This Row],[7d]]/100)</f>
        <v>5.5785700404741838E-2</v>
      </c>
      <c r="I126" s="6" t="str">
        <f t="shared" si="17"/>
        <v>0-5 USD</v>
      </c>
      <c r="J126" s="6" t="str">
        <f t="shared" si="18"/>
        <v>0 - 0.05</v>
      </c>
      <c r="K126" s="6">
        <f t="shared" si="19"/>
        <v>-8.6960264966666667</v>
      </c>
    </row>
    <row r="127" spans="1:11" x14ac:dyDescent="0.35">
      <c r="A127" t="s">
        <v>244</v>
      </c>
      <c r="B127">
        <v>8.0547900863092589E-2</v>
      </c>
      <c r="C127">
        <v>-0.44346525999999997</v>
      </c>
      <c r="D127">
        <v>-5.0392618599999999</v>
      </c>
      <c r="E127">
        <v>-19.181585640000002</v>
      </c>
      <c r="F127">
        <f t="shared" si="15"/>
        <v>8.0906693943747637E-2</v>
      </c>
      <c r="G127">
        <f t="shared" si="16"/>
        <v>7.6683612809893539E-2</v>
      </c>
      <c r="H127">
        <f>Table2[[#This Row],[Price]]/(1+Table2[[#This Row],[7d]]/100)</f>
        <v>9.9665282350501913E-2</v>
      </c>
      <c r="I127" s="6" t="str">
        <f t="shared" si="17"/>
        <v>0-5 USD</v>
      </c>
      <c r="J127" s="6" t="str">
        <f t="shared" si="18"/>
        <v>0.05 - 0.5</v>
      </c>
      <c r="K127" s="6">
        <f t="shared" si="19"/>
        <v>-8.2214375866666671</v>
      </c>
    </row>
    <row r="128" spans="1:11" x14ac:dyDescent="0.35">
      <c r="A128" t="s">
        <v>252</v>
      </c>
      <c r="B128">
        <v>0.20719608193177691</v>
      </c>
      <c r="C128">
        <v>-0.75983319000000005</v>
      </c>
      <c r="D128">
        <v>-5.7883657900000003</v>
      </c>
      <c r="E128">
        <v>-17.878542329999998</v>
      </c>
      <c r="F128">
        <f t="shared" si="15"/>
        <v>0.20878248051362472</v>
      </c>
      <c r="G128">
        <f t="shared" si="16"/>
        <v>0.19585904403049473</v>
      </c>
      <c r="H128">
        <f>Table2[[#This Row],[Price]]/(1+Table2[[#This Row],[7d]]/100)</f>
        <v>0.25230443761042526</v>
      </c>
      <c r="I128" s="6" t="str">
        <f t="shared" si="17"/>
        <v>0-5 USD</v>
      </c>
      <c r="J128" s="6" t="str">
        <f t="shared" si="18"/>
        <v>0.05 - 0.5</v>
      </c>
      <c r="K128" s="6">
        <f t="shared" si="19"/>
        <v>-8.1422471033333323</v>
      </c>
    </row>
    <row r="129" spans="1:11" x14ac:dyDescent="0.35">
      <c r="A129" t="s">
        <v>240</v>
      </c>
      <c r="B129">
        <v>5.4101646528916119</v>
      </c>
      <c r="C129">
        <v>-0.39484283999999997</v>
      </c>
      <c r="D129">
        <v>-4.5232642099999998</v>
      </c>
      <c r="E129">
        <v>-20.308800130000002</v>
      </c>
      <c r="F129">
        <f t="shared" si="15"/>
        <v>5.4316109799425689</v>
      </c>
      <c r="G129">
        <f t="shared" si="16"/>
        <v>5.1760387448500751</v>
      </c>
      <c r="H129">
        <f>Table2[[#This Row],[Price]]/(1+Table2[[#This Row],[7d]]/100)</f>
        <v>6.7889110236979695</v>
      </c>
      <c r="I129" s="6" t="str">
        <f t="shared" si="17"/>
        <v>Above 5 USD</v>
      </c>
      <c r="J129" s="6" t="str">
        <f t="shared" si="18"/>
        <v>5 - 50</v>
      </c>
      <c r="K129" s="6">
        <f t="shared" si="19"/>
        <v>-8.4089690600000004</v>
      </c>
    </row>
    <row r="130" spans="1:11" x14ac:dyDescent="0.35">
      <c r="A130" t="s">
        <v>279</v>
      </c>
      <c r="B130">
        <v>1.8325708249173029E-2</v>
      </c>
      <c r="C130">
        <v>-3.8579989000000001</v>
      </c>
      <c r="D130">
        <v>10.16282893</v>
      </c>
      <c r="E130">
        <v>1.1440471299999999</v>
      </c>
      <c r="F130">
        <f t="shared" ref="F130:F161" si="20">B130/(1+C130/100)</f>
        <v>1.9061084686714545E-2</v>
      </c>
      <c r="G130">
        <f t="shared" ref="G130:G161" si="21">B130/(1-D130/100)</f>
        <v>2.0398803781225331E-2</v>
      </c>
      <c r="H130">
        <f>Table2[[#This Row],[Price]]/(1+Table2[[#This Row],[7d]]/100)</f>
        <v>1.8118424928774184E-2</v>
      </c>
      <c r="I130" s="6" t="str">
        <f t="shared" ref="I130:I161" si="22">IF(AND(B130&gt;=0,B130&lt;=5),"0-5 USD","Above 5 USD")</f>
        <v>0-5 USD</v>
      </c>
      <c r="J130" s="6" t="str">
        <f t="shared" ref="J130:J161" si="23">IF(B130&lt;=0.05,"0 - 0.05",
IF(B130&lt;=0.5,"0.05 - 0.5",
IF(B130&lt;=5,"0.5 - 5",
IF(B130&lt;=50,"5 - 50",
"&gt; 50"))))</f>
        <v>0 - 0.05</v>
      </c>
      <c r="K130" s="6">
        <f t="shared" ref="K130:K161" si="24">AVERAGE(C130,D130,E130)</f>
        <v>2.482959053333333</v>
      </c>
    </row>
    <row r="131" spans="1:11" x14ac:dyDescent="0.35">
      <c r="A131" t="s">
        <v>273</v>
      </c>
      <c r="B131">
        <v>0.19353313861130719</v>
      </c>
      <c r="C131">
        <v>-0.31332276999999997</v>
      </c>
      <c r="D131">
        <v>-2.8886095699999998</v>
      </c>
      <c r="E131">
        <v>-11.663467020000001</v>
      </c>
      <c r="F131">
        <f t="shared" si="20"/>
        <v>0.19414142791095534</v>
      </c>
      <c r="G131">
        <f t="shared" si="21"/>
        <v>0.18809967344309134</v>
      </c>
      <c r="H131">
        <f>Table2[[#This Row],[Price]]/(1+Table2[[#This Row],[7d]]/100)</f>
        <v>0.21908618335193714</v>
      </c>
      <c r="I131" s="6" t="str">
        <f t="shared" si="22"/>
        <v>0-5 USD</v>
      </c>
      <c r="J131" s="6" t="str">
        <f t="shared" si="23"/>
        <v>0.05 - 0.5</v>
      </c>
      <c r="K131" s="6">
        <f t="shared" si="24"/>
        <v>-4.9551331200000002</v>
      </c>
    </row>
    <row r="132" spans="1:11" x14ac:dyDescent="0.35">
      <c r="A132" t="s">
        <v>281</v>
      </c>
      <c r="B132">
        <v>0.1284005625993129</v>
      </c>
      <c r="C132">
        <v>-0.47158462000000001</v>
      </c>
      <c r="D132">
        <v>0.88835215999999995</v>
      </c>
      <c r="E132">
        <v>4.85463062</v>
      </c>
      <c r="F132">
        <f t="shared" si="20"/>
        <v>0.12900894896103679</v>
      </c>
      <c r="G132">
        <f t="shared" si="21"/>
        <v>0.1295514355755594</v>
      </c>
      <c r="H132">
        <f>Table2[[#This Row],[Price]]/(1+Table2[[#This Row],[7d]]/100)</f>
        <v>0.12245578649229608</v>
      </c>
      <c r="I132" s="6" t="str">
        <f t="shared" si="22"/>
        <v>0-5 USD</v>
      </c>
      <c r="J132" s="6" t="str">
        <f t="shared" si="23"/>
        <v>0.05 - 0.5</v>
      </c>
      <c r="K132" s="6">
        <f t="shared" si="24"/>
        <v>1.7571327200000002</v>
      </c>
    </row>
    <row r="133" spans="1:11" x14ac:dyDescent="0.35">
      <c r="A133" t="s">
        <v>219</v>
      </c>
      <c r="B133">
        <v>0.44467593972987368</v>
      </c>
      <c r="C133">
        <v>-0.82347197999999999</v>
      </c>
      <c r="D133">
        <v>-11.230370000000001</v>
      </c>
      <c r="E133">
        <v>-35.457916640000001</v>
      </c>
      <c r="F133">
        <f t="shared" si="20"/>
        <v>0.44836812561153588</v>
      </c>
      <c r="G133">
        <f t="shared" si="21"/>
        <v>0.39977925069373921</v>
      </c>
      <c r="H133">
        <f>Table2[[#This Row],[Price]]/(1+Table2[[#This Row],[7d]]/100)</f>
        <v>0.6889705391900347</v>
      </c>
      <c r="I133" s="6" t="str">
        <f t="shared" si="22"/>
        <v>0-5 USD</v>
      </c>
      <c r="J133" s="6" t="str">
        <f t="shared" si="23"/>
        <v>0.05 - 0.5</v>
      </c>
      <c r="K133" s="6">
        <f t="shared" si="24"/>
        <v>-15.837252873333334</v>
      </c>
    </row>
    <row r="134" spans="1:11" x14ac:dyDescent="0.35">
      <c r="A134" t="s">
        <v>255</v>
      </c>
      <c r="B134">
        <v>2.6410183599351919E-2</v>
      </c>
      <c r="C134">
        <v>-1.09612653</v>
      </c>
      <c r="D134">
        <v>-8.4269368199999999</v>
      </c>
      <c r="E134">
        <v>-22.561242109999998</v>
      </c>
      <c r="F134">
        <f t="shared" si="20"/>
        <v>2.6702880961849064E-2</v>
      </c>
      <c r="G134">
        <f t="shared" si="21"/>
        <v>2.4357585277167401E-2</v>
      </c>
      <c r="H134">
        <f>Table2[[#This Row],[Price]]/(1+Table2[[#This Row],[7d]]/100)</f>
        <v>3.4104606425721586E-2</v>
      </c>
      <c r="I134" s="6" t="str">
        <f t="shared" si="22"/>
        <v>0-5 USD</v>
      </c>
      <c r="J134" s="6" t="str">
        <f t="shared" si="23"/>
        <v>0 - 0.05</v>
      </c>
      <c r="K134" s="6">
        <f t="shared" si="24"/>
        <v>-10.694768486666666</v>
      </c>
    </row>
    <row r="135" spans="1:11" x14ac:dyDescent="0.35">
      <c r="A135" t="s">
        <v>259</v>
      </c>
      <c r="B135">
        <v>1.9091864495044851E-3</v>
      </c>
      <c r="C135">
        <v>-0.96494687999999995</v>
      </c>
      <c r="D135">
        <v>-8.7267090500000002</v>
      </c>
      <c r="E135">
        <v>-5.1750847599999998</v>
      </c>
      <c r="F135">
        <f t="shared" si="20"/>
        <v>1.9277885853114438E-3</v>
      </c>
      <c r="G135">
        <f t="shared" si="21"/>
        <v>1.7559498178377775E-3</v>
      </c>
      <c r="H135">
        <f>Table2[[#This Row],[Price]]/(1+Table2[[#This Row],[7d]]/100)</f>
        <v>2.0133806022102647E-3</v>
      </c>
      <c r="I135" s="6" t="str">
        <f t="shared" si="22"/>
        <v>0-5 USD</v>
      </c>
      <c r="J135" s="6" t="str">
        <f t="shared" si="23"/>
        <v>0 - 0.05</v>
      </c>
      <c r="K135" s="6">
        <f t="shared" si="24"/>
        <v>-4.9555802299999998</v>
      </c>
    </row>
    <row r="136" spans="1:11" x14ac:dyDescent="0.35">
      <c r="A136" t="s">
        <v>265</v>
      </c>
      <c r="B136">
        <v>9.423029280446342E-2</v>
      </c>
      <c r="C136">
        <v>-0.67194023000000003</v>
      </c>
      <c r="D136">
        <v>-4.22504524</v>
      </c>
      <c r="E136">
        <v>-16.109595150000001</v>
      </c>
      <c r="F136">
        <f t="shared" si="20"/>
        <v>9.4867747364298913E-2</v>
      </c>
      <c r="G136">
        <f t="shared" si="21"/>
        <v>9.0410411995963572E-2</v>
      </c>
      <c r="H136">
        <f>Table2[[#This Row],[Price]]/(1+Table2[[#This Row],[7d]]/100)</f>
        <v>0.11232547151602335</v>
      </c>
      <c r="I136" s="6" t="str">
        <f t="shared" si="22"/>
        <v>0-5 USD</v>
      </c>
      <c r="J136" s="6" t="str">
        <f t="shared" si="23"/>
        <v>0.05 - 0.5</v>
      </c>
      <c r="K136" s="6">
        <f t="shared" si="24"/>
        <v>-7.0021935400000004</v>
      </c>
    </row>
    <row r="137" spans="1:11" x14ac:dyDescent="0.35">
      <c r="A137" t="s">
        <v>275</v>
      </c>
      <c r="B137">
        <v>5.0079221390440807E-3</v>
      </c>
      <c r="C137">
        <v>-7.6883510000000002E-2</v>
      </c>
      <c r="D137">
        <v>-2.3895830899999999</v>
      </c>
      <c r="E137">
        <v>-10.20158612</v>
      </c>
      <c r="F137">
        <f t="shared" si="20"/>
        <v>5.0117753678602071E-3</v>
      </c>
      <c r="G137">
        <f t="shared" si="21"/>
        <v>4.8910465185136457E-3</v>
      </c>
      <c r="H137">
        <f>Table2[[#This Row],[Price]]/(1+Table2[[#This Row],[7d]]/100)</f>
        <v>5.5768492144374618E-3</v>
      </c>
      <c r="I137" s="6" t="str">
        <f t="shared" si="22"/>
        <v>0-5 USD</v>
      </c>
      <c r="J137" s="6" t="str">
        <f t="shared" si="23"/>
        <v>0 - 0.05</v>
      </c>
      <c r="K137" s="6">
        <f t="shared" si="24"/>
        <v>-4.2226842400000004</v>
      </c>
    </row>
    <row r="138" spans="1:11" x14ac:dyDescent="0.35">
      <c r="A138" t="s">
        <v>320</v>
      </c>
      <c r="B138">
        <v>0.8194020234188315</v>
      </c>
      <c r="C138">
        <v>0.15342996</v>
      </c>
      <c r="D138">
        <v>-3.54188562</v>
      </c>
      <c r="E138">
        <v>13.13850309</v>
      </c>
      <c r="F138">
        <f t="shared" si="20"/>
        <v>0.81814674120106534</v>
      </c>
      <c r="G138">
        <f t="shared" si="21"/>
        <v>0.79137251413987875</v>
      </c>
      <c r="H138">
        <f>Table2[[#This Row],[Price]]/(1+Table2[[#This Row],[7d]]/100)</f>
        <v>0.72424683113140487</v>
      </c>
      <c r="I138" s="6" t="str">
        <f t="shared" si="22"/>
        <v>0-5 USD</v>
      </c>
      <c r="J138" s="6" t="str">
        <f t="shared" si="23"/>
        <v>0.5 - 5</v>
      </c>
      <c r="K138" s="6">
        <f t="shared" si="24"/>
        <v>3.2500158100000003</v>
      </c>
    </row>
    <row r="139" spans="1:11" x14ac:dyDescent="0.35">
      <c r="A139" t="s">
        <v>293</v>
      </c>
      <c r="B139">
        <v>7.8584345408679854E-2</v>
      </c>
      <c r="C139">
        <v>-0.26762035000000001</v>
      </c>
      <c r="D139">
        <v>0.71515625999999999</v>
      </c>
      <c r="E139">
        <v>0.91161919000000002</v>
      </c>
      <c r="F139">
        <f t="shared" si="20"/>
        <v>7.8795217445390461E-2</v>
      </c>
      <c r="G139">
        <f t="shared" si="21"/>
        <v>7.9150394409111313E-2</v>
      </c>
      <c r="H139">
        <f>Table2[[#This Row],[Price]]/(1+Table2[[#This Row],[7d]]/100)</f>
        <v>7.7874427186346545E-2</v>
      </c>
      <c r="I139" s="6" t="str">
        <f t="shared" si="22"/>
        <v>0-5 USD</v>
      </c>
      <c r="J139" s="6" t="str">
        <f t="shared" si="23"/>
        <v>0.05 - 0.5</v>
      </c>
      <c r="K139" s="6">
        <f t="shared" si="24"/>
        <v>0.4530517</v>
      </c>
    </row>
    <row r="140" spans="1:11" x14ac:dyDescent="0.35">
      <c r="A140" t="s">
        <v>310</v>
      </c>
      <c r="B140">
        <v>5.2578745336369158E-2</v>
      </c>
      <c r="C140">
        <v>-0.56847901999999995</v>
      </c>
      <c r="D140">
        <v>-1.6115623800000001</v>
      </c>
      <c r="E140">
        <v>-0.58983929000000002</v>
      </c>
      <c r="F140">
        <f t="shared" si="20"/>
        <v>5.2879353366167482E-2</v>
      </c>
      <c r="G140">
        <f t="shared" si="21"/>
        <v>5.1744844882650999E-2</v>
      </c>
      <c r="H140">
        <f>Table2[[#This Row],[Price]]/(1+Table2[[#This Row],[7d]]/100)</f>
        <v>5.2890715557489372E-2</v>
      </c>
      <c r="I140" s="6" t="str">
        <f t="shared" si="22"/>
        <v>0-5 USD</v>
      </c>
      <c r="J140" s="6" t="str">
        <f t="shared" si="23"/>
        <v>0.05 - 0.5</v>
      </c>
      <c r="K140" s="6">
        <f t="shared" si="24"/>
        <v>-0.92329356333333334</v>
      </c>
    </row>
    <row r="141" spans="1:11" x14ac:dyDescent="0.35">
      <c r="A141" t="s">
        <v>289</v>
      </c>
      <c r="B141">
        <v>2.0861476964336621E-2</v>
      </c>
      <c r="C141">
        <v>-0.38594159</v>
      </c>
      <c r="D141">
        <v>-1.80089586</v>
      </c>
      <c r="E141">
        <v>-14.21766126</v>
      </c>
      <c r="F141">
        <f t="shared" si="20"/>
        <v>2.0942302017726438E-2</v>
      </c>
      <c r="G141">
        <f t="shared" si="21"/>
        <v>2.0492429647206663E-2</v>
      </c>
      <c r="H141">
        <f>Table2[[#This Row],[Price]]/(1+Table2[[#This Row],[7d]]/100)</f>
        <v>2.4319081609055021E-2</v>
      </c>
      <c r="I141" s="6" t="str">
        <f t="shared" si="22"/>
        <v>0-5 USD</v>
      </c>
      <c r="J141" s="6" t="str">
        <f t="shared" si="23"/>
        <v>0 - 0.05</v>
      </c>
      <c r="K141" s="6">
        <f t="shared" si="24"/>
        <v>-5.4681662366666659</v>
      </c>
    </row>
    <row r="142" spans="1:11" x14ac:dyDescent="0.35">
      <c r="A142" t="s">
        <v>261</v>
      </c>
      <c r="B142">
        <v>3.8318953265703828E-3</v>
      </c>
      <c r="C142">
        <v>-0.51736875999999998</v>
      </c>
      <c r="D142">
        <v>-4.0427351700000003</v>
      </c>
      <c r="E142">
        <v>-19.386281499999999</v>
      </c>
      <c r="F142">
        <f t="shared" si="20"/>
        <v>3.8518234578315551E-3</v>
      </c>
      <c r="G142">
        <f t="shared" si="21"/>
        <v>3.6830013362386914E-3</v>
      </c>
      <c r="H142">
        <f>Table2[[#This Row],[Price]]/(1+Table2[[#This Row],[7d]]/100)</f>
        <v>4.7534035122947255E-3</v>
      </c>
      <c r="I142" s="6" t="str">
        <f t="shared" si="22"/>
        <v>0-5 USD</v>
      </c>
      <c r="J142" s="6" t="str">
        <f t="shared" si="23"/>
        <v>0 - 0.05</v>
      </c>
      <c r="K142" s="6">
        <f t="shared" si="24"/>
        <v>-7.9821284766666665</v>
      </c>
    </row>
    <row r="143" spans="1:11" x14ac:dyDescent="0.35">
      <c r="A143" t="s">
        <v>277</v>
      </c>
      <c r="B143">
        <v>2.5633048086770671</v>
      </c>
      <c r="C143">
        <v>-0.16131725999999999</v>
      </c>
      <c r="D143">
        <v>-2.6274536099999999</v>
      </c>
      <c r="E143">
        <v>-19.955495540000001</v>
      </c>
      <c r="F143">
        <f t="shared" si="20"/>
        <v>2.5674465430923483</v>
      </c>
      <c r="G143">
        <f t="shared" si="21"/>
        <v>2.4976794400629063</v>
      </c>
      <c r="H143">
        <f>Table2[[#This Row],[Price]]/(1+Table2[[#This Row],[7d]]/100)</f>
        <v>3.2023495253918486</v>
      </c>
      <c r="I143" s="6" t="str">
        <f t="shared" si="22"/>
        <v>0-5 USD</v>
      </c>
      <c r="J143" s="6" t="str">
        <f t="shared" si="23"/>
        <v>0.5 - 5</v>
      </c>
      <c r="K143" s="6">
        <f t="shared" si="24"/>
        <v>-7.5814221366666672</v>
      </c>
    </row>
    <row r="144" spans="1:11" x14ac:dyDescent="0.35">
      <c r="A144" t="s">
        <v>285</v>
      </c>
      <c r="B144">
        <v>0.18078137876885669</v>
      </c>
      <c r="C144">
        <v>-0.18682287</v>
      </c>
      <c r="D144">
        <v>-1.66612928</v>
      </c>
      <c r="E144">
        <v>-16.12539507</v>
      </c>
      <c r="F144">
        <f t="shared" si="20"/>
        <v>0.18111975188746976</v>
      </c>
      <c r="G144">
        <f t="shared" si="21"/>
        <v>0.17781868951749344</v>
      </c>
      <c r="H144">
        <f>Table2[[#This Row],[Price]]/(1+Table2[[#This Row],[7d]]/100)</f>
        <v>0.21553768142303989</v>
      </c>
      <c r="I144" s="6" t="str">
        <f t="shared" si="22"/>
        <v>0-5 USD</v>
      </c>
      <c r="J144" s="6" t="str">
        <f t="shared" si="23"/>
        <v>0.05 - 0.5</v>
      </c>
      <c r="K144" s="6">
        <f t="shared" si="24"/>
        <v>-5.9927824066666666</v>
      </c>
    </row>
    <row r="145" spans="1:11" x14ac:dyDescent="0.35">
      <c r="A145" t="s">
        <v>297</v>
      </c>
      <c r="B145">
        <v>3.2946317132238309E-5</v>
      </c>
      <c r="C145">
        <v>-1.1252502499999999</v>
      </c>
      <c r="D145">
        <v>-3.2350313800000001</v>
      </c>
      <c r="E145">
        <v>-12.330042949999999</v>
      </c>
      <c r="F145">
        <f t="shared" si="20"/>
        <v>3.3321264747108305E-5</v>
      </c>
      <c r="G145">
        <f t="shared" si="21"/>
        <v>3.1913892689164313E-5</v>
      </c>
      <c r="H145">
        <f>Table2[[#This Row],[Price]]/(1+Table2[[#This Row],[7d]]/100)</f>
        <v>3.7579939857217383E-5</v>
      </c>
      <c r="I145" s="6" t="str">
        <f t="shared" si="22"/>
        <v>0-5 USD</v>
      </c>
      <c r="J145" s="6" t="str">
        <f t="shared" si="23"/>
        <v>0 - 0.05</v>
      </c>
      <c r="K145" s="6">
        <f t="shared" si="24"/>
        <v>-5.5634415266666659</v>
      </c>
    </row>
    <row r="146" spans="1:11" x14ac:dyDescent="0.35">
      <c r="A146" t="s">
        <v>250</v>
      </c>
      <c r="B146">
        <v>1.0878052197084529</v>
      </c>
      <c r="C146">
        <v>-1.2803058700000001</v>
      </c>
      <c r="D146">
        <v>-4.9621749700000004</v>
      </c>
      <c r="E146">
        <v>-29.672992520000001</v>
      </c>
      <c r="F146">
        <f t="shared" si="20"/>
        <v>1.1019130775222681</v>
      </c>
      <c r="G146">
        <f t="shared" si="21"/>
        <v>1.0363783143969401</v>
      </c>
      <c r="H146">
        <f>Table2[[#This Row],[Price]]/(1+Table2[[#This Row],[7d]]/100)</f>
        <v>1.5467816116273811</v>
      </c>
      <c r="I146" s="6" t="str">
        <f t="shared" si="22"/>
        <v>0-5 USD</v>
      </c>
      <c r="J146" s="6" t="str">
        <f t="shared" si="23"/>
        <v>0.5 - 5</v>
      </c>
      <c r="K146" s="6">
        <f t="shared" si="24"/>
        <v>-11.971824453333333</v>
      </c>
    </row>
    <row r="147" spans="1:11" x14ac:dyDescent="0.35">
      <c r="A147" t="s">
        <v>295</v>
      </c>
      <c r="B147">
        <v>1.768487281903786</v>
      </c>
      <c r="C147">
        <v>-0.65919346000000001</v>
      </c>
      <c r="D147">
        <v>-4.4452196400000004</v>
      </c>
      <c r="E147">
        <v>-10.52813091</v>
      </c>
      <c r="F147">
        <f t="shared" si="20"/>
        <v>1.7802223914818902</v>
      </c>
      <c r="G147">
        <f t="shared" si="21"/>
        <v>1.6932199367279592</v>
      </c>
      <c r="H147">
        <f>Table2[[#This Row],[Price]]/(1+Table2[[#This Row],[7d]]/100)</f>
        <v>1.9765847074512992</v>
      </c>
      <c r="I147" s="6" t="str">
        <f t="shared" si="22"/>
        <v>0-5 USD</v>
      </c>
      <c r="J147" s="6" t="str">
        <f t="shared" si="23"/>
        <v>0.5 - 5</v>
      </c>
      <c r="K147" s="6">
        <f t="shared" si="24"/>
        <v>-5.2108480033333331</v>
      </c>
    </row>
    <row r="148" spans="1:11" x14ac:dyDescent="0.35">
      <c r="A148" t="s">
        <v>263</v>
      </c>
      <c r="B148">
        <v>0.17374038713260881</v>
      </c>
      <c r="C148">
        <v>-0.88105624999999999</v>
      </c>
      <c r="D148">
        <v>-7.1726874299999999</v>
      </c>
      <c r="E148">
        <v>-21.326617110000001</v>
      </c>
      <c r="F148">
        <f t="shared" si="20"/>
        <v>0.17528474432780547</v>
      </c>
      <c r="G148">
        <f t="shared" si="21"/>
        <v>0.16211255992445614</v>
      </c>
      <c r="H148">
        <f>Table2[[#This Row],[Price]]/(1+Table2[[#This Row],[7d]]/100)</f>
        <v>0.22083757015448305</v>
      </c>
      <c r="I148" s="6" t="str">
        <f t="shared" si="22"/>
        <v>0-5 USD</v>
      </c>
      <c r="J148" s="6" t="str">
        <f t="shared" si="23"/>
        <v>0.05 - 0.5</v>
      </c>
      <c r="K148" s="6">
        <f t="shared" si="24"/>
        <v>-9.7934535966666676</v>
      </c>
    </row>
    <row r="149" spans="1:11" x14ac:dyDescent="0.35">
      <c r="A149" t="s">
        <v>267</v>
      </c>
      <c r="B149">
        <v>2.0156046346713148</v>
      </c>
      <c r="C149">
        <v>-0.18041020999999999</v>
      </c>
      <c r="D149">
        <v>-1.6806892499999999</v>
      </c>
      <c r="E149">
        <v>-10.627753780000001</v>
      </c>
      <c r="F149">
        <f t="shared" si="20"/>
        <v>2.0192475634409384</v>
      </c>
      <c r="G149">
        <f t="shared" si="21"/>
        <v>1.9822885245354636</v>
      </c>
      <c r="H149">
        <f>Table2[[#This Row],[Price]]/(1+Table2[[#This Row],[7d]]/100)</f>
        <v>2.2552914578309622</v>
      </c>
      <c r="I149" s="6" t="str">
        <f t="shared" si="22"/>
        <v>0-5 USD</v>
      </c>
      <c r="J149" s="6" t="str">
        <f t="shared" si="23"/>
        <v>0.5 - 5</v>
      </c>
      <c r="K149" s="6">
        <f t="shared" si="24"/>
        <v>-4.16295108</v>
      </c>
    </row>
    <row r="150" spans="1:11" x14ac:dyDescent="0.35">
      <c r="A150" t="s">
        <v>312</v>
      </c>
      <c r="B150">
        <v>1.7982982244850749</v>
      </c>
      <c r="C150">
        <v>-5.8316170000000001E-2</v>
      </c>
      <c r="D150">
        <v>-0.28385463999999999</v>
      </c>
      <c r="E150">
        <v>-5.3356169400000004</v>
      </c>
      <c r="F150">
        <f t="shared" si="20"/>
        <v>1.7993475350525068</v>
      </c>
      <c r="G150">
        <f t="shared" si="21"/>
        <v>1.7932081200315086</v>
      </c>
      <c r="H150">
        <f>Table2[[#This Row],[Price]]/(1+Table2[[#This Row],[7d]]/100)</f>
        <v>1.899656625180012</v>
      </c>
      <c r="I150" s="6" t="str">
        <f t="shared" si="22"/>
        <v>0-5 USD</v>
      </c>
      <c r="J150" s="6" t="str">
        <f t="shared" si="23"/>
        <v>0.5 - 5</v>
      </c>
      <c r="K150" s="6">
        <f t="shared" si="24"/>
        <v>-1.8925959166666668</v>
      </c>
    </row>
    <row r="151" spans="1:11" x14ac:dyDescent="0.35">
      <c r="A151" t="s">
        <v>291</v>
      </c>
      <c r="B151">
        <v>2.1201054641628829</v>
      </c>
      <c r="C151">
        <v>-1.0625812299999999</v>
      </c>
      <c r="D151">
        <v>-5.5714174200000004</v>
      </c>
      <c r="E151">
        <v>-18.42418417</v>
      </c>
      <c r="F151">
        <f t="shared" si="20"/>
        <v>2.1428752543984357</v>
      </c>
      <c r="G151">
        <f t="shared" si="21"/>
        <v>2.0082191903594153</v>
      </c>
      <c r="H151">
        <f>Table2[[#This Row],[Price]]/(1+Table2[[#This Row],[7d]]/100)</f>
        <v>2.5989387204917187</v>
      </c>
      <c r="I151" s="6" t="str">
        <f t="shared" si="22"/>
        <v>0-5 USD</v>
      </c>
      <c r="J151" s="6" t="str">
        <f t="shared" si="23"/>
        <v>0.5 - 5</v>
      </c>
      <c r="K151" s="6">
        <f t="shared" si="24"/>
        <v>-8.3527276066666669</v>
      </c>
    </row>
    <row r="152" spans="1:11" x14ac:dyDescent="0.35">
      <c r="A152" t="s">
        <v>314</v>
      </c>
      <c r="B152">
        <v>0.32441720517861972</v>
      </c>
      <c r="C152">
        <v>-0.76780797000000001</v>
      </c>
      <c r="D152">
        <v>-4.9903437200000003</v>
      </c>
      <c r="E152">
        <v>-6.7981445599999999</v>
      </c>
      <c r="F152">
        <f t="shared" si="20"/>
        <v>0.32692737965572854</v>
      </c>
      <c r="G152">
        <f t="shared" si="21"/>
        <v>0.3089971836303459</v>
      </c>
      <c r="H152">
        <f>Table2[[#This Row],[Price]]/(1+Table2[[#This Row],[7d]]/100)</f>
        <v>0.34808020038556831</v>
      </c>
      <c r="I152" s="6" t="str">
        <f t="shared" si="22"/>
        <v>0-5 USD</v>
      </c>
      <c r="J152" s="6" t="str">
        <f t="shared" si="23"/>
        <v>0.05 - 0.5</v>
      </c>
      <c r="K152" s="6">
        <f t="shared" si="24"/>
        <v>-4.1854320833333327</v>
      </c>
    </row>
    <row r="153" spans="1:11" x14ac:dyDescent="0.35">
      <c r="A153" t="s">
        <v>417</v>
      </c>
      <c r="B153">
        <v>8.1646937247078555E-2</v>
      </c>
      <c r="C153">
        <v>-1.8436963799999999</v>
      </c>
      <c r="D153">
        <v>-0.56430917000000003</v>
      </c>
      <c r="E153">
        <v>29.771001510000001</v>
      </c>
      <c r="F153">
        <f t="shared" si="20"/>
        <v>8.3180533736442019E-2</v>
      </c>
      <c r="G153">
        <f t="shared" si="21"/>
        <v>8.1188781508017532E-2</v>
      </c>
      <c r="H153">
        <f>Table2[[#This Row],[Price]]/(1+Table2[[#This Row],[7d]]/100)</f>
        <v>6.291616485735986E-2</v>
      </c>
      <c r="I153" s="6" t="str">
        <f t="shared" si="22"/>
        <v>0-5 USD</v>
      </c>
      <c r="J153" s="6" t="str">
        <f t="shared" si="23"/>
        <v>0.05 - 0.5</v>
      </c>
      <c r="K153" s="6">
        <f t="shared" si="24"/>
        <v>9.1209986533333343</v>
      </c>
    </row>
    <row r="154" spans="1:11" x14ac:dyDescent="0.35">
      <c r="A154" t="s">
        <v>283</v>
      </c>
      <c r="B154">
        <v>15.783884537498979</v>
      </c>
      <c r="C154">
        <v>-0.47865087000000001</v>
      </c>
      <c r="D154">
        <v>-3.3450590600000001</v>
      </c>
      <c r="E154">
        <v>-20.989555930000002</v>
      </c>
      <c r="F154">
        <f t="shared" si="20"/>
        <v>15.859797596675707</v>
      </c>
      <c r="G154">
        <f t="shared" si="21"/>
        <v>15.272993872242294</v>
      </c>
      <c r="H154">
        <f>Table2[[#This Row],[Price]]/(1+Table2[[#This Row],[7d]]/100)</f>
        <v>19.976959658035977</v>
      </c>
      <c r="I154" s="6" t="str">
        <f t="shared" si="22"/>
        <v>Above 5 USD</v>
      </c>
      <c r="J154" s="6" t="str">
        <f t="shared" si="23"/>
        <v>5 - 50</v>
      </c>
      <c r="K154" s="6">
        <f t="shared" si="24"/>
        <v>-8.2710886200000004</v>
      </c>
    </row>
    <row r="155" spans="1:11" x14ac:dyDescent="0.35">
      <c r="A155" t="s">
        <v>301</v>
      </c>
      <c r="B155">
        <v>0.15327523176617691</v>
      </c>
      <c r="C155">
        <v>-1.383006E-2</v>
      </c>
      <c r="D155">
        <v>-4.2633531600000003</v>
      </c>
      <c r="E155">
        <v>-12.02913139</v>
      </c>
      <c r="F155">
        <f t="shared" si="20"/>
        <v>0.15329643275480476</v>
      </c>
      <c r="G155">
        <f t="shared" si="21"/>
        <v>0.14700777130288961</v>
      </c>
      <c r="H155">
        <f>Table2[[#This Row],[Price]]/(1+Table2[[#This Row],[7d]]/100)</f>
        <v>0.17423407792605733</v>
      </c>
      <c r="I155" s="6" t="str">
        <f t="shared" si="22"/>
        <v>0-5 USD</v>
      </c>
      <c r="J155" s="6" t="str">
        <f t="shared" si="23"/>
        <v>0.05 - 0.5</v>
      </c>
      <c r="K155" s="6">
        <f t="shared" si="24"/>
        <v>-5.4354382033333337</v>
      </c>
    </row>
    <row r="156" spans="1:11" x14ac:dyDescent="0.35">
      <c r="A156" t="s">
        <v>299</v>
      </c>
      <c r="B156">
        <v>7.5406131355470767E-6</v>
      </c>
      <c r="C156">
        <v>-0.11717548999999999</v>
      </c>
      <c r="D156">
        <v>-3.63020012</v>
      </c>
      <c r="E156">
        <v>-15.21838977</v>
      </c>
      <c r="F156">
        <f t="shared" si="20"/>
        <v>7.5494592514172755E-6</v>
      </c>
      <c r="G156">
        <f t="shared" si="21"/>
        <v>7.2764629681456965E-6</v>
      </c>
      <c r="H156">
        <f>Table2[[#This Row],[Price]]/(1+Table2[[#This Row],[7d]]/100)</f>
        <v>8.8941612633807092E-6</v>
      </c>
      <c r="I156" s="6" t="str">
        <f t="shared" si="22"/>
        <v>0-5 USD</v>
      </c>
      <c r="J156" s="6" t="str">
        <f t="shared" si="23"/>
        <v>0 - 0.05</v>
      </c>
      <c r="K156" s="6">
        <f t="shared" si="24"/>
        <v>-6.3219217933333338</v>
      </c>
    </row>
    <row r="157" spans="1:11" x14ac:dyDescent="0.35">
      <c r="A157" t="s">
        <v>269</v>
      </c>
      <c r="B157">
        <v>0.55623381267195138</v>
      </c>
      <c r="C157">
        <v>-0.57804478999999998</v>
      </c>
      <c r="D157">
        <v>-4.8870803699999996</v>
      </c>
      <c r="E157">
        <v>-18.022391070000001</v>
      </c>
      <c r="F157">
        <f t="shared" si="20"/>
        <v>0.55946778706681943</v>
      </c>
      <c r="G157">
        <f t="shared" si="21"/>
        <v>0.53031680423344718</v>
      </c>
      <c r="H157">
        <f>Table2[[#This Row],[Price]]/(1+Table2[[#This Row],[7d]]/100)</f>
        <v>0.67851919558536378</v>
      </c>
      <c r="I157" s="6" t="str">
        <f t="shared" si="22"/>
        <v>0-5 USD</v>
      </c>
      <c r="J157" s="6" t="str">
        <f t="shared" si="23"/>
        <v>0.5 - 5</v>
      </c>
      <c r="K157" s="6">
        <f t="shared" si="24"/>
        <v>-7.8291720766666666</v>
      </c>
    </row>
    <row r="158" spans="1:11" x14ac:dyDescent="0.35">
      <c r="A158" t="s">
        <v>305</v>
      </c>
      <c r="B158">
        <v>0.80020308733296419</v>
      </c>
      <c r="C158">
        <v>-3.0421150000000001E-2</v>
      </c>
      <c r="D158">
        <v>-4.1968032900000001</v>
      </c>
      <c r="E158">
        <v>-12.15333976</v>
      </c>
      <c r="F158">
        <f t="shared" si="20"/>
        <v>0.80044659239150551</v>
      </c>
      <c r="G158">
        <f t="shared" si="21"/>
        <v>0.76797278041807393</v>
      </c>
      <c r="H158">
        <f>Table2[[#This Row],[Price]]/(1+Table2[[#This Row],[7d]]/100)</f>
        <v>0.91090894650608545</v>
      </c>
      <c r="I158" s="6" t="str">
        <f t="shared" si="22"/>
        <v>0-5 USD</v>
      </c>
      <c r="J158" s="6" t="str">
        <f t="shared" si="23"/>
        <v>0.5 - 5</v>
      </c>
      <c r="K158" s="6">
        <f t="shared" si="24"/>
        <v>-5.4601880666666665</v>
      </c>
    </row>
    <row r="159" spans="1:11" x14ac:dyDescent="0.35">
      <c r="A159" t="s">
        <v>333</v>
      </c>
      <c r="B159">
        <v>0.3098016392189808</v>
      </c>
      <c r="C159">
        <v>0.28441758</v>
      </c>
      <c r="D159">
        <v>0.36953426</v>
      </c>
      <c r="E159">
        <v>-8.4887523999999992</v>
      </c>
      <c r="F159">
        <f t="shared" si="20"/>
        <v>0.30892300787591692</v>
      </c>
      <c r="G159">
        <f t="shared" si="21"/>
        <v>0.31095070861904095</v>
      </c>
      <c r="H159">
        <f>Table2[[#This Row],[Price]]/(1+Table2[[#This Row],[7d]]/100)</f>
        <v>0.33853941165040002</v>
      </c>
      <c r="I159" s="6" t="str">
        <f t="shared" si="22"/>
        <v>0-5 USD</v>
      </c>
      <c r="J159" s="6" t="str">
        <f t="shared" si="23"/>
        <v>0.05 - 0.5</v>
      </c>
      <c r="K159" s="6">
        <f t="shared" si="24"/>
        <v>-2.6116001866666667</v>
      </c>
    </row>
    <row r="160" spans="1:11" x14ac:dyDescent="0.35">
      <c r="A160" t="s">
        <v>287</v>
      </c>
      <c r="B160">
        <v>7.8991473803992823E-2</v>
      </c>
      <c r="C160">
        <v>-0.65450266999999995</v>
      </c>
      <c r="D160">
        <v>-2.46813927</v>
      </c>
      <c r="E160">
        <v>-17.360549970000001</v>
      </c>
      <c r="F160">
        <f t="shared" si="20"/>
        <v>7.9511881189344311E-2</v>
      </c>
      <c r="G160">
        <f t="shared" si="21"/>
        <v>7.7088814500527833E-2</v>
      </c>
      <c r="H160">
        <f>Table2[[#This Row],[Price]]/(1+Table2[[#This Row],[7d]]/100)</f>
        <v>9.5585672188424689E-2</v>
      </c>
      <c r="I160" s="6" t="str">
        <f t="shared" si="22"/>
        <v>0-5 USD</v>
      </c>
      <c r="J160" s="6" t="str">
        <f t="shared" si="23"/>
        <v>0.05 - 0.5</v>
      </c>
      <c r="K160" s="6">
        <f t="shared" si="24"/>
        <v>-6.8277306366666677</v>
      </c>
    </row>
    <row r="161" spans="1:11" x14ac:dyDescent="0.35">
      <c r="A161" t="s">
        <v>308</v>
      </c>
      <c r="B161">
        <v>0.38470679395441659</v>
      </c>
      <c r="C161">
        <v>-0.46372714999999998</v>
      </c>
      <c r="D161">
        <v>-3.9072646899999999</v>
      </c>
      <c r="E161">
        <v>-15.389424460000001</v>
      </c>
      <c r="F161">
        <f t="shared" si="20"/>
        <v>0.38649909519333242</v>
      </c>
      <c r="G161">
        <f t="shared" si="21"/>
        <v>0.37024051696689564</v>
      </c>
      <c r="H161">
        <f>Table2[[#This Row],[Price]]/(1+Table2[[#This Row],[7d]]/100)</f>
        <v>0.45467932524882171</v>
      </c>
      <c r="I161" s="6" t="str">
        <f t="shared" si="22"/>
        <v>0-5 USD</v>
      </c>
      <c r="J161" s="6" t="str">
        <f t="shared" si="23"/>
        <v>0.05 - 0.5</v>
      </c>
      <c r="K161" s="6">
        <f t="shared" si="24"/>
        <v>-6.5868054333333346</v>
      </c>
    </row>
    <row r="162" spans="1:11" x14ac:dyDescent="0.35">
      <c r="A162" t="s">
        <v>418</v>
      </c>
      <c r="B162">
        <v>2.4943955189238701E-2</v>
      </c>
      <c r="C162">
        <v>-0.74985007999999997</v>
      </c>
      <c r="D162">
        <v>4.0761591199999998</v>
      </c>
      <c r="E162">
        <v>39.838334240000002</v>
      </c>
      <c r="F162">
        <f t="shared" ref="F162:F193" si="25">B162/(1+C162/100)</f>
        <v>2.5132410590154908E-2</v>
      </c>
      <c r="G162">
        <f t="shared" ref="G162:G193" si="26">B162/(1-D162/100)</f>
        <v>2.6003916190598959E-2</v>
      </c>
      <c r="H162">
        <f>Table2[[#This Row],[Price]]/(1+Table2[[#This Row],[7d]]/100)</f>
        <v>1.783770904080436E-2</v>
      </c>
      <c r="I162" s="6" t="str">
        <f t="shared" ref="I162:I193" si="27">IF(AND(B162&gt;=0,B162&lt;=5),"0-5 USD","Above 5 USD")</f>
        <v>0-5 USD</v>
      </c>
      <c r="J162" s="6" t="str">
        <f t="shared" ref="J162:J193" si="28">IF(B162&lt;=0.05,"0 - 0.05",
IF(B162&lt;=0.5,"0.05 - 0.5",
IF(B162&lt;=5,"0.5 - 5",
IF(B162&lt;=50,"5 - 50",
"&gt; 50"))))</f>
        <v>0 - 0.05</v>
      </c>
      <c r="K162" s="6">
        <f t="shared" ref="K162:K193" si="29">AVERAGE(C162,D162,E162)</f>
        <v>14.388214426666666</v>
      </c>
    </row>
    <row r="163" spans="1:11" x14ac:dyDescent="0.35">
      <c r="A163" t="s">
        <v>385</v>
      </c>
      <c r="B163">
        <v>0.1987555900680133</v>
      </c>
      <c r="C163">
        <v>2.1546008400000001</v>
      </c>
      <c r="D163">
        <v>17.414140830000001</v>
      </c>
      <c r="E163">
        <v>25.005032960000001</v>
      </c>
      <c r="F163">
        <f t="shared" si="25"/>
        <v>0.19456352277203345</v>
      </c>
      <c r="G163">
        <f t="shared" si="26"/>
        <v>0.24066540212275581</v>
      </c>
      <c r="H163">
        <f>Table2[[#This Row],[Price]]/(1+Table2[[#This Row],[7d]]/100)</f>
        <v>0.15899807020699119</v>
      </c>
      <c r="I163" s="6" t="str">
        <f t="shared" si="27"/>
        <v>0-5 USD</v>
      </c>
      <c r="J163" s="6" t="str">
        <f t="shared" si="28"/>
        <v>0.05 - 0.5</v>
      </c>
      <c r="K163" s="6">
        <f t="shared" si="29"/>
        <v>14.857924876666667</v>
      </c>
    </row>
    <row r="164" spans="1:11" x14ac:dyDescent="0.35">
      <c r="A164" t="s">
        <v>331</v>
      </c>
      <c r="B164">
        <v>7.9614882097461787E-2</v>
      </c>
      <c r="C164">
        <v>-0.43750903000000002</v>
      </c>
      <c r="D164">
        <v>-1.48046594</v>
      </c>
      <c r="E164">
        <v>-15.03912966</v>
      </c>
      <c r="F164">
        <f t="shared" si="25"/>
        <v>7.996473503405134E-2</v>
      </c>
      <c r="G164">
        <f t="shared" si="26"/>
        <v>7.8453406140777712E-2</v>
      </c>
      <c r="H164">
        <f>Table2[[#This Row],[Price]]/(1+Table2[[#This Row],[7d]]/100)</f>
        <v>9.3707705416452999E-2</v>
      </c>
      <c r="I164" s="6" t="str">
        <f t="shared" si="27"/>
        <v>0-5 USD</v>
      </c>
      <c r="J164" s="6" t="str">
        <f t="shared" si="28"/>
        <v>0.05 - 0.5</v>
      </c>
      <c r="K164" s="6">
        <f t="shared" si="29"/>
        <v>-5.6523682099999997</v>
      </c>
    </row>
    <row r="165" spans="1:11" x14ac:dyDescent="0.35">
      <c r="A165" t="s">
        <v>334</v>
      </c>
      <c r="B165">
        <v>9.1660731536411702E-2</v>
      </c>
      <c r="C165">
        <v>-0.67404125999999998</v>
      </c>
      <c r="D165">
        <v>-3.4368599199999998</v>
      </c>
      <c r="E165">
        <v>-18.72626064</v>
      </c>
      <c r="F165">
        <f t="shared" si="25"/>
        <v>9.2282755383561788E-2</v>
      </c>
      <c r="G165">
        <f t="shared" si="26"/>
        <v>8.8615152864562813E-2</v>
      </c>
      <c r="H165">
        <f>Table2[[#This Row],[Price]]/(1+Table2[[#This Row],[7d]]/100)</f>
        <v>0.11278025627737243</v>
      </c>
      <c r="I165" s="6" t="str">
        <f t="shared" si="27"/>
        <v>0-5 USD</v>
      </c>
      <c r="J165" s="6" t="str">
        <f t="shared" si="28"/>
        <v>0.05 - 0.5</v>
      </c>
      <c r="K165" s="6">
        <f t="shared" si="29"/>
        <v>-7.6123872733333329</v>
      </c>
    </row>
    <row r="166" spans="1:11" x14ac:dyDescent="0.35">
      <c r="A166" t="s">
        <v>338</v>
      </c>
      <c r="B166">
        <v>4.3952252473963576</v>
      </c>
      <c r="C166">
        <v>-0.59176843999999995</v>
      </c>
      <c r="D166">
        <v>-1.51093324</v>
      </c>
      <c r="E166">
        <v>-10.47343326</v>
      </c>
      <c r="F166">
        <f t="shared" si="25"/>
        <v>4.421389635870872</v>
      </c>
      <c r="G166">
        <f t="shared" si="26"/>
        <v>4.3298047876329004</v>
      </c>
      <c r="H166">
        <f>Table2[[#This Row],[Price]]/(1+Table2[[#This Row],[7d]]/100)</f>
        <v>4.9094089134020082</v>
      </c>
      <c r="I166" s="6" t="str">
        <f t="shared" si="27"/>
        <v>0-5 USD</v>
      </c>
      <c r="J166" s="6" t="str">
        <f t="shared" si="28"/>
        <v>0.5 - 5</v>
      </c>
      <c r="K166" s="6">
        <f t="shared" si="29"/>
        <v>-4.1920449799999995</v>
      </c>
    </row>
    <row r="167" spans="1:11" x14ac:dyDescent="0.35">
      <c r="A167" t="s">
        <v>322</v>
      </c>
      <c r="B167">
        <v>0.24965021577169469</v>
      </c>
      <c r="C167">
        <v>-0.80700512000000002</v>
      </c>
      <c r="D167">
        <v>-5.1853119599999999</v>
      </c>
      <c r="E167">
        <v>-14.907220560000001</v>
      </c>
      <c r="F167">
        <f t="shared" si="25"/>
        <v>0.25168129672232625</v>
      </c>
      <c r="G167">
        <f t="shared" si="26"/>
        <v>0.23734322893545437</v>
      </c>
      <c r="H167">
        <f>Table2[[#This Row],[Price]]/(1+Table2[[#This Row],[7d]]/100)</f>
        <v>0.29338589879735477</v>
      </c>
      <c r="I167" s="6" t="str">
        <f t="shared" si="27"/>
        <v>0-5 USD</v>
      </c>
      <c r="J167" s="6" t="str">
        <f t="shared" si="28"/>
        <v>0.05 - 0.5</v>
      </c>
      <c r="K167" s="6">
        <f t="shared" si="29"/>
        <v>-6.9665125466666673</v>
      </c>
    </row>
    <row r="168" spans="1:11" x14ac:dyDescent="0.35">
      <c r="A168" t="s">
        <v>340</v>
      </c>
      <c r="B168">
        <v>1.465401519593046E-3</v>
      </c>
      <c r="C168">
        <v>-0.29649872999999999</v>
      </c>
      <c r="D168">
        <v>-6.1215910600000001</v>
      </c>
      <c r="E168">
        <v>-9.6269868299999999</v>
      </c>
      <c r="F168">
        <f t="shared" si="25"/>
        <v>1.4697593373623819E-3</v>
      </c>
      <c r="G168">
        <f t="shared" si="26"/>
        <v>1.3808702875219084E-3</v>
      </c>
      <c r="H168">
        <f>Table2[[#This Row],[Price]]/(1+Table2[[#This Row],[7d]]/100)</f>
        <v>1.6215034424452465E-3</v>
      </c>
      <c r="I168" s="6" t="str">
        <f t="shared" si="27"/>
        <v>0-5 USD</v>
      </c>
      <c r="J168" s="6" t="str">
        <f t="shared" si="28"/>
        <v>0 - 0.05</v>
      </c>
      <c r="K168" s="6">
        <f t="shared" si="29"/>
        <v>-5.3483588733333329</v>
      </c>
    </row>
    <row r="169" spans="1:11" x14ac:dyDescent="0.35">
      <c r="A169" t="s">
        <v>326</v>
      </c>
      <c r="B169">
        <v>7.617379771617562E-2</v>
      </c>
      <c r="C169">
        <v>-0.50494739</v>
      </c>
      <c r="D169">
        <v>-5.3136146799999997</v>
      </c>
      <c r="E169">
        <v>-19.470310359999999</v>
      </c>
      <c r="F169">
        <f t="shared" si="25"/>
        <v>7.6560387394095999E-2</v>
      </c>
      <c r="G169">
        <f t="shared" si="26"/>
        <v>7.2330436997754766E-2</v>
      </c>
      <c r="H169">
        <f>Table2[[#This Row],[Price]]/(1+Table2[[#This Row],[7d]]/100)</f>
        <v>9.4590949073196526E-2</v>
      </c>
      <c r="I169" s="6" t="str">
        <f t="shared" si="27"/>
        <v>0-5 USD</v>
      </c>
      <c r="J169" s="6" t="str">
        <f t="shared" si="28"/>
        <v>0.05 - 0.5</v>
      </c>
      <c r="K169" s="6">
        <f t="shared" si="29"/>
        <v>-8.4296241433333332</v>
      </c>
    </row>
    <row r="170" spans="1:11" x14ac:dyDescent="0.35">
      <c r="A170" t="s">
        <v>419</v>
      </c>
      <c r="B170">
        <v>0.54798710920894866</v>
      </c>
      <c r="C170">
        <v>-0.34559419000000002</v>
      </c>
      <c r="D170">
        <v>18.6990765</v>
      </c>
      <c r="E170">
        <v>24.469561070000001</v>
      </c>
      <c r="F170">
        <f t="shared" si="25"/>
        <v>0.54988748842046675</v>
      </c>
      <c r="G170">
        <f t="shared" si="26"/>
        <v>0.67402322829573846</v>
      </c>
      <c r="H170">
        <f>Table2[[#This Row],[Price]]/(1+Table2[[#This Row],[7d]]/100)</f>
        <v>0.44025792691658011</v>
      </c>
      <c r="I170" s="6" t="str">
        <f t="shared" si="27"/>
        <v>0-5 USD</v>
      </c>
      <c r="J170" s="6" t="str">
        <f t="shared" si="28"/>
        <v>0.5 - 5</v>
      </c>
      <c r="K170" s="6">
        <f t="shared" si="29"/>
        <v>14.274347793333334</v>
      </c>
    </row>
    <row r="171" spans="1:11" x14ac:dyDescent="0.35">
      <c r="A171" t="s">
        <v>318</v>
      </c>
      <c r="B171">
        <v>0.19158623221368209</v>
      </c>
      <c r="C171">
        <v>-0.58965051999999996</v>
      </c>
      <c r="D171">
        <v>-4.3881540499999998</v>
      </c>
      <c r="E171">
        <v>-24.3715619</v>
      </c>
      <c r="F171">
        <f t="shared" si="25"/>
        <v>0.19272262215739078</v>
      </c>
      <c r="G171">
        <f t="shared" si="26"/>
        <v>0.18353254155822685</v>
      </c>
      <c r="H171">
        <f>Table2[[#This Row],[Price]]/(1+Table2[[#This Row],[7d]]/100)</f>
        <v>0.25332564975142874</v>
      </c>
      <c r="I171" s="6" t="str">
        <f t="shared" si="27"/>
        <v>0-5 USD</v>
      </c>
      <c r="J171" s="6" t="str">
        <f t="shared" si="28"/>
        <v>0.05 - 0.5</v>
      </c>
      <c r="K171" s="6">
        <f t="shared" si="29"/>
        <v>-9.783122156666666</v>
      </c>
    </row>
    <row r="172" spans="1:11" x14ac:dyDescent="0.35">
      <c r="A172" t="s">
        <v>303</v>
      </c>
      <c r="B172">
        <v>1.725591128156863</v>
      </c>
      <c r="C172">
        <v>-1.0909356800000001</v>
      </c>
      <c r="D172">
        <v>-7.7833494300000003</v>
      </c>
      <c r="E172">
        <v>-32.208757519999999</v>
      </c>
      <c r="F172">
        <f t="shared" si="25"/>
        <v>1.7446238522427699</v>
      </c>
      <c r="G172">
        <f t="shared" si="26"/>
        <v>1.6009811694315081</v>
      </c>
      <c r="H172">
        <f>Table2[[#This Row],[Price]]/(1+Table2[[#This Row],[7d]]/100)</f>
        <v>2.5454484458902678</v>
      </c>
      <c r="I172" s="6" t="str">
        <f t="shared" si="27"/>
        <v>0-5 USD</v>
      </c>
      <c r="J172" s="6" t="str">
        <f t="shared" si="28"/>
        <v>0.5 - 5</v>
      </c>
      <c r="K172" s="6">
        <f t="shared" si="29"/>
        <v>-13.694347543333334</v>
      </c>
    </row>
    <row r="173" spans="1:11" x14ac:dyDescent="0.35">
      <c r="A173" t="s">
        <v>344</v>
      </c>
      <c r="B173">
        <v>2.2742572865102808</v>
      </c>
      <c r="C173">
        <v>-0.64899061999999996</v>
      </c>
      <c r="D173">
        <v>-3.1837672800000001</v>
      </c>
      <c r="E173">
        <v>-13.7947562</v>
      </c>
      <c r="F173">
        <f t="shared" si="25"/>
        <v>2.2891134178734407</v>
      </c>
      <c r="G173">
        <f t="shared" si="26"/>
        <v>2.2040843695296028</v>
      </c>
      <c r="H173">
        <f>Table2[[#This Row],[Price]]/(1+Table2[[#This Row],[7d]]/100)</f>
        <v>2.6381890315009828</v>
      </c>
      <c r="I173" s="6" t="str">
        <f t="shared" si="27"/>
        <v>0-5 USD</v>
      </c>
      <c r="J173" s="6" t="str">
        <f t="shared" si="28"/>
        <v>0.5 - 5</v>
      </c>
      <c r="K173" s="6">
        <f t="shared" si="29"/>
        <v>-5.8758380333333333</v>
      </c>
    </row>
    <row r="174" spans="1:11" x14ac:dyDescent="0.35">
      <c r="A174" t="s">
        <v>364</v>
      </c>
      <c r="B174">
        <v>0.11488063780185161</v>
      </c>
      <c r="C174">
        <v>-0.94776523000000001</v>
      </c>
      <c r="D174">
        <v>-2.9592297799999998</v>
      </c>
      <c r="E174">
        <v>-8.6120451500000001</v>
      </c>
      <c r="F174">
        <f t="shared" si="25"/>
        <v>0.11597985453695746</v>
      </c>
      <c r="G174">
        <f t="shared" si="26"/>
        <v>0.11157876573797695</v>
      </c>
      <c r="H174">
        <f>Table2[[#This Row],[Price]]/(1+Table2[[#This Row],[7d]]/100)</f>
        <v>0.12570654195119196</v>
      </c>
      <c r="I174" s="6" t="str">
        <f t="shared" si="27"/>
        <v>0-5 USD</v>
      </c>
      <c r="J174" s="6" t="str">
        <f t="shared" si="28"/>
        <v>0.05 - 0.5</v>
      </c>
      <c r="K174" s="6">
        <f t="shared" si="29"/>
        <v>-4.1730133866666668</v>
      </c>
    </row>
    <row r="175" spans="1:11" x14ac:dyDescent="0.35">
      <c r="A175" t="s">
        <v>316</v>
      </c>
      <c r="B175">
        <v>3.8922620302878512E-2</v>
      </c>
      <c r="C175">
        <v>-0.81956326999999995</v>
      </c>
      <c r="D175">
        <v>-4.6498505899999998</v>
      </c>
      <c r="E175">
        <v>-23.213347389999999</v>
      </c>
      <c r="F175">
        <f t="shared" si="25"/>
        <v>3.9244251776021102E-2</v>
      </c>
      <c r="G175">
        <f t="shared" si="26"/>
        <v>3.7193192425444159E-2</v>
      </c>
      <c r="H175">
        <f>Table2[[#This Row],[Price]]/(1+Table2[[#This Row],[7d]]/100)</f>
        <v>5.0689304690187245E-2</v>
      </c>
      <c r="I175" s="6" t="str">
        <f t="shared" si="27"/>
        <v>0-5 USD</v>
      </c>
      <c r="J175" s="6" t="str">
        <f t="shared" si="28"/>
        <v>0 - 0.05</v>
      </c>
      <c r="K175" s="6">
        <f t="shared" si="29"/>
        <v>-9.5609204166666668</v>
      </c>
    </row>
    <row r="176" spans="1:11" x14ac:dyDescent="0.35">
      <c r="A176" t="s">
        <v>352</v>
      </c>
      <c r="B176">
        <v>2.2617823571604739E-3</v>
      </c>
      <c r="C176">
        <v>-0.83132030000000001</v>
      </c>
      <c r="D176">
        <v>-3.3277802200000002</v>
      </c>
      <c r="E176">
        <v>-12.568440669999999</v>
      </c>
      <c r="F176">
        <f t="shared" si="25"/>
        <v>2.280742633664885E-3</v>
      </c>
      <c r="G176">
        <f t="shared" si="26"/>
        <v>2.1889392691344066E-3</v>
      </c>
      <c r="H176">
        <f>Table2[[#This Row],[Price]]/(1+Table2[[#This Row],[7d]]/100)</f>
        <v>2.5869175552773183E-3</v>
      </c>
      <c r="I176" s="6" t="str">
        <f t="shared" si="27"/>
        <v>0-5 USD</v>
      </c>
      <c r="J176" s="6" t="str">
        <f t="shared" si="28"/>
        <v>0 - 0.05</v>
      </c>
      <c r="K176" s="6">
        <f t="shared" si="29"/>
        <v>-5.5758470633333337</v>
      </c>
    </row>
    <row r="177" spans="1:11" x14ac:dyDescent="0.35">
      <c r="A177" t="s">
        <v>420</v>
      </c>
      <c r="B177">
        <v>5.038871678878766E-2</v>
      </c>
      <c r="C177">
        <v>0.22261465</v>
      </c>
      <c r="D177">
        <v>0.11264246999999999</v>
      </c>
      <c r="E177">
        <v>-2.5777676600000001</v>
      </c>
      <c r="F177">
        <f t="shared" si="25"/>
        <v>5.0276793281393062E-2</v>
      </c>
      <c r="G177">
        <f t="shared" si="26"/>
        <v>5.0445539890925636E-2</v>
      </c>
      <c r="H177">
        <f>Table2[[#This Row],[Price]]/(1+Table2[[#This Row],[7d]]/100)</f>
        <v>5.1721989507418485E-2</v>
      </c>
      <c r="I177" s="6" t="str">
        <f t="shared" si="27"/>
        <v>0-5 USD</v>
      </c>
      <c r="J177" s="6" t="str">
        <f t="shared" si="28"/>
        <v>0.05 - 0.5</v>
      </c>
      <c r="K177" s="6">
        <f t="shared" si="29"/>
        <v>-0.74750351333333331</v>
      </c>
    </row>
    <row r="178" spans="1:11" x14ac:dyDescent="0.35">
      <c r="A178" t="s">
        <v>346</v>
      </c>
      <c r="B178">
        <v>2.8072515600276841E-2</v>
      </c>
      <c r="C178">
        <v>-0.54396643</v>
      </c>
      <c r="D178">
        <v>-4.2777896399999999</v>
      </c>
      <c r="E178">
        <v>-16.581099030000001</v>
      </c>
      <c r="F178">
        <f t="shared" si="25"/>
        <v>2.82260558687157E-2</v>
      </c>
      <c r="G178">
        <f t="shared" si="26"/>
        <v>2.6920896287878814E-2</v>
      </c>
      <c r="H178">
        <f>Table2[[#This Row],[Price]]/(1+Table2[[#This Row],[7d]]/100)</f>
        <v>3.3652463978604295E-2</v>
      </c>
      <c r="I178" s="6" t="str">
        <f t="shared" si="27"/>
        <v>0-5 USD</v>
      </c>
      <c r="J178" s="6" t="str">
        <f t="shared" si="28"/>
        <v>0 - 0.05</v>
      </c>
      <c r="K178" s="6">
        <f t="shared" si="29"/>
        <v>-7.1342850333333336</v>
      </c>
    </row>
    <row r="179" spans="1:11" x14ac:dyDescent="0.35">
      <c r="A179" t="s">
        <v>336</v>
      </c>
      <c r="B179">
        <v>2.2832868893819129E-2</v>
      </c>
      <c r="C179">
        <v>-0.55924125999999996</v>
      </c>
      <c r="D179">
        <v>-3.8721852700000001</v>
      </c>
      <c r="E179">
        <v>-25.0641006</v>
      </c>
      <c r="F179">
        <f t="shared" si="25"/>
        <v>2.2961277833286099E-2</v>
      </c>
      <c r="G179">
        <f t="shared" si="26"/>
        <v>2.1981696865689838E-2</v>
      </c>
      <c r="H179">
        <f>Table2[[#This Row],[Price]]/(1+Table2[[#This Row],[7d]]/100)</f>
        <v>3.0469867015193424E-2</v>
      </c>
      <c r="I179" s="6" t="str">
        <f t="shared" si="27"/>
        <v>0-5 USD</v>
      </c>
      <c r="J179" s="6" t="str">
        <f t="shared" si="28"/>
        <v>0 - 0.05</v>
      </c>
      <c r="K179" s="6">
        <f t="shared" si="29"/>
        <v>-9.8318423766666658</v>
      </c>
    </row>
    <row r="180" spans="1:11" x14ac:dyDescent="0.35">
      <c r="A180" t="s">
        <v>307</v>
      </c>
      <c r="B180">
        <v>0.51117848383120101</v>
      </c>
      <c r="C180">
        <v>-0.80752537000000002</v>
      </c>
      <c r="D180">
        <v>-3.25540823</v>
      </c>
      <c r="E180">
        <v>-16.780530989999999</v>
      </c>
      <c r="F180">
        <f t="shared" si="25"/>
        <v>0.51533998495143807</v>
      </c>
      <c r="G180">
        <f t="shared" si="26"/>
        <v>0.49506218859990175</v>
      </c>
      <c r="H180">
        <f>Table2[[#This Row],[Price]]/(1+Table2[[#This Row],[7d]]/100)</f>
        <v>0.61425347927871976</v>
      </c>
      <c r="I180" s="6" t="str">
        <f t="shared" si="27"/>
        <v>0-5 USD</v>
      </c>
      <c r="J180" s="6" t="str">
        <f t="shared" si="28"/>
        <v>0.5 - 5</v>
      </c>
      <c r="K180" s="6">
        <f t="shared" si="29"/>
        <v>-6.9478215299999997</v>
      </c>
    </row>
    <row r="181" spans="1:11" x14ac:dyDescent="0.35">
      <c r="A181" t="s">
        <v>372</v>
      </c>
      <c r="B181">
        <v>0.12855022691829721</v>
      </c>
      <c r="C181">
        <v>-0.71343670000000003</v>
      </c>
      <c r="D181">
        <v>-7.0811340100000004</v>
      </c>
      <c r="E181">
        <v>-24.77081652</v>
      </c>
      <c r="F181">
        <f t="shared" si="25"/>
        <v>0.1294739415341383</v>
      </c>
      <c r="G181">
        <f t="shared" si="26"/>
        <v>0.12004937014048829</v>
      </c>
      <c r="H181">
        <f>Table2[[#This Row],[Price]]/(1+Table2[[#This Row],[7d]]/100)</f>
        <v>0.17087813661100393</v>
      </c>
      <c r="I181" s="6" t="str">
        <f t="shared" si="27"/>
        <v>0-5 USD</v>
      </c>
      <c r="J181" s="6" t="str">
        <f t="shared" si="28"/>
        <v>0.05 - 0.5</v>
      </c>
      <c r="K181" s="6">
        <f t="shared" si="29"/>
        <v>-10.855129076666666</v>
      </c>
    </row>
    <row r="182" spans="1:11" x14ac:dyDescent="0.35">
      <c r="A182" t="s">
        <v>362</v>
      </c>
      <c r="B182">
        <v>0.32363734096489311</v>
      </c>
      <c r="C182">
        <v>-1.03446178</v>
      </c>
      <c r="D182">
        <v>2.0784616699999998</v>
      </c>
      <c r="E182">
        <v>-8.3459818699999992</v>
      </c>
      <c r="F182">
        <f t="shared" si="25"/>
        <v>0.3270202403643262</v>
      </c>
      <c r="G182">
        <f t="shared" si="26"/>
        <v>0.3305067980797245</v>
      </c>
      <c r="H182">
        <f>Table2[[#This Row],[Price]]/(1+Table2[[#This Row],[7d]]/100)</f>
        <v>0.35310764063377248</v>
      </c>
      <c r="I182" s="6" t="str">
        <f t="shared" si="27"/>
        <v>0-5 USD</v>
      </c>
      <c r="J182" s="6" t="str">
        <f t="shared" si="28"/>
        <v>0.05 - 0.5</v>
      </c>
      <c r="K182" s="6">
        <f t="shared" si="29"/>
        <v>-2.433993993333333</v>
      </c>
    </row>
    <row r="183" spans="1:11" x14ac:dyDescent="0.35">
      <c r="A183" t="s">
        <v>389</v>
      </c>
      <c r="B183">
        <v>2941.1659436321361</v>
      </c>
      <c r="C183">
        <v>-0.39275048000000001</v>
      </c>
      <c r="D183">
        <v>-2.4905083100000001</v>
      </c>
      <c r="E183">
        <v>1.8808747800000001</v>
      </c>
      <c r="F183">
        <f t="shared" si="25"/>
        <v>2952.762934229585</v>
      </c>
      <c r="G183">
        <f t="shared" si="26"/>
        <v>2869.695928071777</v>
      </c>
      <c r="H183">
        <f>Table2[[#This Row],[Price]]/(1+Table2[[#This Row],[7d]]/100)</f>
        <v>2886.8675793992193</v>
      </c>
      <c r="I183" s="6" t="str">
        <f t="shared" si="27"/>
        <v>Above 5 USD</v>
      </c>
      <c r="J183" s="6" t="str">
        <f t="shared" si="28"/>
        <v>&gt; 50</v>
      </c>
      <c r="K183" s="6">
        <f t="shared" si="29"/>
        <v>-0.33412800333333337</v>
      </c>
    </row>
    <row r="184" spans="1:11" x14ac:dyDescent="0.35">
      <c r="A184" t="s">
        <v>379</v>
      </c>
      <c r="B184">
        <v>1.4105105216837339E-2</v>
      </c>
      <c r="C184">
        <v>-0.15835252</v>
      </c>
      <c r="D184">
        <v>-1.6455503199999999</v>
      </c>
      <c r="E184">
        <v>-10.00443873</v>
      </c>
      <c r="F184">
        <f t="shared" si="25"/>
        <v>1.412747643177947E-2</v>
      </c>
      <c r="G184">
        <f t="shared" si="26"/>
        <v>1.3876756210608059E-2</v>
      </c>
      <c r="H184">
        <f>Table2[[#This Row],[Price]]/(1+Table2[[#This Row],[7d]]/100)</f>
        <v>1.5673112115518605E-2</v>
      </c>
      <c r="I184" s="6" t="str">
        <f t="shared" si="27"/>
        <v>0-5 USD</v>
      </c>
      <c r="J184" s="6" t="str">
        <f t="shared" si="28"/>
        <v>0 - 0.05</v>
      </c>
      <c r="K184" s="6">
        <f t="shared" si="29"/>
        <v>-3.9361138566666667</v>
      </c>
    </row>
    <row r="185" spans="1:11" x14ac:dyDescent="0.35">
      <c r="A185" t="s">
        <v>342</v>
      </c>
      <c r="B185">
        <v>0.23146991123608129</v>
      </c>
      <c r="C185">
        <v>0.38769262999999998</v>
      </c>
      <c r="D185">
        <v>-5.7601894700000003</v>
      </c>
      <c r="E185">
        <v>-21.579032720000001</v>
      </c>
      <c r="F185">
        <f t="shared" si="25"/>
        <v>0.23057598513516236</v>
      </c>
      <c r="G185">
        <f t="shared" si="26"/>
        <v>0.21886298842320073</v>
      </c>
      <c r="H185">
        <f>Table2[[#This Row],[Price]]/(1+Table2[[#This Row],[7d]]/100)</f>
        <v>0.2951632953080317</v>
      </c>
      <c r="I185" s="6" t="str">
        <f t="shared" si="27"/>
        <v>0-5 USD</v>
      </c>
      <c r="J185" s="6" t="str">
        <f t="shared" si="28"/>
        <v>0.05 - 0.5</v>
      </c>
      <c r="K185" s="6">
        <f t="shared" si="29"/>
        <v>-8.9838431866666664</v>
      </c>
    </row>
    <row r="186" spans="1:11" x14ac:dyDescent="0.35">
      <c r="A186" t="s">
        <v>366</v>
      </c>
      <c r="B186">
        <v>0.20149573956724109</v>
      </c>
      <c r="C186">
        <v>-0.64318803999999996</v>
      </c>
      <c r="D186">
        <v>-2.7135495000000001</v>
      </c>
      <c r="E186">
        <v>-13.972921149999999</v>
      </c>
      <c r="F186">
        <f t="shared" si="25"/>
        <v>0.20280012572098341</v>
      </c>
      <c r="G186">
        <f t="shared" si="26"/>
        <v>0.19617250163011948</v>
      </c>
      <c r="H186">
        <f>Table2[[#This Row],[Price]]/(1+Table2[[#This Row],[7d]]/100)</f>
        <v>0.23422362151640244</v>
      </c>
      <c r="I186" s="6" t="str">
        <f t="shared" si="27"/>
        <v>0-5 USD</v>
      </c>
      <c r="J186" s="6" t="str">
        <f t="shared" si="28"/>
        <v>0.05 - 0.5</v>
      </c>
      <c r="K186" s="6">
        <f t="shared" si="29"/>
        <v>-5.7765528966666659</v>
      </c>
    </row>
    <row r="187" spans="1:11" x14ac:dyDescent="0.35">
      <c r="A187" t="s">
        <v>421</v>
      </c>
      <c r="B187">
        <v>0.3335368083799185</v>
      </c>
      <c r="C187">
        <v>-0.26725303</v>
      </c>
      <c r="D187">
        <v>1.1933657499999999</v>
      </c>
      <c r="E187">
        <v>1.1570747400000001</v>
      </c>
      <c r="F187">
        <f t="shared" si="25"/>
        <v>0.33443058424957217</v>
      </c>
      <c r="G187">
        <f t="shared" si="26"/>
        <v>0.33756519581064315</v>
      </c>
      <c r="H187">
        <f>Table2[[#This Row],[Price]]/(1+Table2[[#This Row],[7d]]/100)</f>
        <v>0.32972168208421893</v>
      </c>
      <c r="I187" s="6" t="str">
        <f t="shared" si="27"/>
        <v>0-5 USD</v>
      </c>
      <c r="J187" s="6" t="str">
        <f t="shared" si="28"/>
        <v>0.05 - 0.5</v>
      </c>
      <c r="K187" s="6">
        <f t="shared" si="29"/>
        <v>0.69439582</v>
      </c>
    </row>
    <row r="188" spans="1:11" x14ac:dyDescent="0.35">
      <c r="A188" t="s">
        <v>350</v>
      </c>
      <c r="B188">
        <v>5.6198122555933363</v>
      </c>
      <c r="C188">
        <v>-0.60727977</v>
      </c>
      <c r="D188">
        <v>-3.6711571200000002</v>
      </c>
      <c r="E188">
        <v>-19.171094020000002</v>
      </c>
      <c r="F188">
        <f t="shared" si="25"/>
        <v>5.6541487571612832</v>
      </c>
      <c r="G188">
        <f t="shared" si="26"/>
        <v>5.4208059519277576</v>
      </c>
      <c r="H188">
        <f>Table2[[#This Row],[Price]]/(1+Table2[[#This Row],[7d]]/100)</f>
        <v>6.9527258688666178</v>
      </c>
      <c r="I188" s="6" t="str">
        <f t="shared" si="27"/>
        <v>Above 5 USD</v>
      </c>
      <c r="J188" s="6" t="str">
        <f t="shared" si="28"/>
        <v>5 - 50</v>
      </c>
      <c r="K188" s="6">
        <f t="shared" si="29"/>
        <v>-7.8165103033333336</v>
      </c>
    </row>
    <row r="189" spans="1:11" x14ac:dyDescent="0.35">
      <c r="A189" t="s">
        <v>422</v>
      </c>
      <c r="B189">
        <v>0.1765475950901757</v>
      </c>
      <c r="C189">
        <v>0.20469860000000001</v>
      </c>
      <c r="D189">
        <v>-0.26453019</v>
      </c>
      <c r="E189">
        <v>6.7054540500000002</v>
      </c>
      <c r="F189">
        <f t="shared" si="25"/>
        <v>0.1761869428847079</v>
      </c>
      <c r="G189">
        <f t="shared" si="26"/>
        <v>0.17608180555538464</v>
      </c>
      <c r="H189">
        <f>Table2[[#This Row],[Price]]/(1+Table2[[#This Row],[7d]]/100)</f>
        <v>0.16545320636323715</v>
      </c>
      <c r="I189" s="6" t="str">
        <f t="shared" si="27"/>
        <v>0-5 USD</v>
      </c>
      <c r="J189" s="6" t="str">
        <f t="shared" si="28"/>
        <v>0.05 - 0.5</v>
      </c>
      <c r="K189" s="6">
        <f t="shared" si="29"/>
        <v>2.2152074866666669</v>
      </c>
    </row>
    <row r="190" spans="1:11" x14ac:dyDescent="0.35">
      <c r="A190" t="s">
        <v>381</v>
      </c>
      <c r="B190">
        <v>1.50795046282055</v>
      </c>
      <c r="C190">
        <v>-0.97119021000000005</v>
      </c>
      <c r="D190">
        <v>-3.8862638500000002</v>
      </c>
      <c r="E190">
        <v>-20.693127759999999</v>
      </c>
      <c r="F190">
        <f t="shared" si="25"/>
        <v>1.5227391564316508</v>
      </c>
      <c r="G190">
        <f t="shared" si="26"/>
        <v>1.4515397964430214</v>
      </c>
      <c r="H190">
        <f>Table2[[#This Row],[Price]]/(1+Table2[[#This Row],[7d]]/100)</f>
        <v>1.9014120973743118</v>
      </c>
      <c r="I190" s="6" t="str">
        <f t="shared" si="27"/>
        <v>0-5 USD</v>
      </c>
      <c r="J190" s="6" t="str">
        <f t="shared" si="28"/>
        <v>0.5 - 5</v>
      </c>
      <c r="K190" s="6">
        <f t="shared" si="29"/>
        <v>-8.5168606066666666</v>
      </c>
    </row>
    <row r="191" spans="1:11" x14ac:dyDescent="0.35">
      <c r="A191" t="s">
        <v>354</v>
      </c>
      <c r="B191">
        <v>1.814308837704004E-2</v>
      </c>
      <c r="C191">
        <v>-0.49608153999999999</v>
      </c>
      <c r="D191">
        <v>-3.77698701</v>
      </c>
      <c r="E191">
        <v>-24.104583330000001</v>
      </c>
      <c r="F191">
        <f t="shared" si="25"/>
        <v>1.8233541611060732E-2</v>
      </c>
      <c r="G191">
        <f t="shared" si="26"/>
        <v>1.7482766555259273E-2</v>
      </c>
      <c r="H191">
        <f>Table2[[#This Row],[Price]]/(1+Table2[[#This Row],[7d]]/100)</f>
        <v>2.3905380816245859E-2</v>
      </c>
      <c r="I191" s="6" t="str">
        <f t="shared" si="27"/>
        <v>0-5 USD</v>
      </c>
      <c r="J191" s="6" t="str">
        <f t="shared" si="28"/>
        <v>0 - 0.05</v>
      </c>
      <c r="K191" s="6">
        <f t="shared" si="29"/>
        <v>-9.4592172933333334</v>
      </c>
    </row>
    <row r="192" spans="1:11" x14ac:dyDescent="0.35">
      <c r="A192" t="s">
        <v>423</v>
      </c>
      <c r="B192">
        <v>9.563178427870074E-2</v>
      </c>
      <c r="C192">
        <v>-0.57387142999999996</v>
      </c>
      <c r="D192">
        <v>-4.2965389500000004</v>
      </c>
      <c r="E192">
        <v>-31.822555059999999</v>
      </c>
      <c r="F192">
        <f t="shared" si="25"/>
        <v>9.6183755371076429E-2</v>
      </c>
      <c r="G192">
        <f t="shared" si="26"/>
        <v>9.1692193472064157E-2</v>
      </c>
      <c r="H192">
        <f>Table2[[#This Row],[Price]]/(1+Table2[[#This Row],[7d]]/100)</f>
        <v>0.14026894724914099</v>
      </c>
      <c r="I192" s="6" t="str">
        <f t="shared" si="27"/>
        <v>0-5 USD</v>
      </c>
      <c r="J192" s="6" t="str">
        <f t="shared" si="28"/>
        <v>0.05 - 0.5</v>
      </c>
      <c r="K192" s="6">
        <f t="shared" si="29"/>
        <v>-12.230988480000001</v>
      </c>
    </row>
    <row r="193" spans="1:11" x14ac:dyDescent="0.35">
      <c r="A193" t="s">
        <v>424</v>
      </c>
      <c r="B193">
        <v>9.5331614107403543E-4</v>
      </c>
      <c r="C193">
        <v>-1.1513671299999999</v>
      </c>
      <c r="D193">
        <v>-2.8524219500000001</v>
      </c>
      <c r="E193">
        <v>-8.7971160099999999</v>
      </c>
      <c r="F193">
        <f t="shared" si="25"/>
        <v>9.6442015776564323E-4</v>
      </c>
      <c r="G193">
        <f t="shared" si="26"/>
        <v>9.2687767871667064E-4</v>
      </c>
      <c r="H193">
        <f>Table2[[#This Row],[Price]]/(1+Table2[[#This Row],[7d]]/100)</f>
        <v>1.0452697320169858E-3</v>
      </c>
      <c r="I193" s="6" t="str">
        <f t="shared" si="27"/>
        <v>0-5 USD</v>
      </c>
      <c r="J193" s="6" t="str">
        <f t="shared" si="28"/>
        <v>0 - 0.05</v>
      </c>
      <c r="K193" s="6">
        <f t="shared" si="29"/>
        <v>-4.2669683633333335</v>
      </c>
    </row>
    <row r="194" spans="1:11" x14ac:dyDescent="0.35">
      <c r="A194" t="s">
        <v>324</v>
      </c>
      <c r="B194">
        <v>1.251854592533524E-2</v>
      </c>
      <c r="C194">
        <v>-2.3624131300000002</v>
      </c>
      <c r="D194">
        <v>-3.5429164399999999</v>
      </c>
      <c r="E194">
        <v>-25.012427970000001</v>
      </c>
      <c r="F194">
        <f t="shared" ref="F194:F201" si="30">B194/(1+C194/100)</f>
        <v>1.2821441338982612E-2</v>
      </c>
      <c r="G194">
        <f t="shared" ref="G194:G201" si="31">B194/(1-D194/100)</f>
        <v>1.2090200233629077E-2</v>
      </c>
      <c r="H194">
        <f>Table2[[#This Row],[Price]]/(1+Table2[[#This Row],[7d]]/100)</f>
        <v>1.6694160894190565E-2</v>
      </c>
      <c r="I194" s="6" t="str">
        <f t="shared" ref="I194:I201" si="32">IF(AND(B194&gt;=0,B194&lt;=5),"0-5 USD","Above 5 USD")</f>
        <v>0-5 USD</v>
      </c>
      <c r="J194" s="6" t="str">
        <f t="shared" ref="J194:J201" si="33">IF(B194&lt;=0.05,"0 - 0.05",
IF(B194&lt;=0.5,"0.05 - 0.5",
IF(B194&lt;=5,"0.5 - 5",
IF(B194&lt;=50,"5 - 50",
"&gt; 50"))))</f>
        <v>0 - 0.05</v>
      </c>
      <c r="K194" s="6">
        <f t="shared" ref="K194:K201" si="34">AVERAGE(C194,D194,E194)</f>
        <v>-10.30591918</v>
      </c>
    </row>
    <row r="195" spans="1:11" x14ac:dyDescent="0.35">
      <c r="A195" t="s">
        <v>358</v>
      </c>
      <c r="B195">
        <v>0.27188651853307949</v>
      </c>
      <c r="C195">
        <v>-0.20836231999999999</v>
      </c>
      <c r="D195">
        <v>-4.2218116800000001</v>
      </c>
      <c r="E195">
        <v>-19.0919703</v>
      </c>
      <c r="F195">
        <f t="shared" si="30"/>
        <v>0.27245421044690432</v>
      </c>
      <c r="G195">
        <f t="shared" si="31"/>
        <v>0.26087295370365748</v>
      </c>
      <c r="H195">
        <f>Table2[[#This Row],[Price]]/(1+Table2[[#This Row],[7d]]/100)</f>
        <v>0.33604392486284895</v>
      </c>
      <c r="I195" s="6" t="str">
        <f t="shared" si="32"/>
        <v>0-5 USD</v>
      </c>
      <c r="J195" s="6" t="str">
        <f t="shared" si="33"/>
        <v>0.05 - 0.5</v>
      </c>
      <c r="K195" s="6">
        <f t="shared" si="34"/>
        <v>-7.8407147666666672</v>
      </c>
    </row>
    <row r="196" spans="1:11" x14ac:dyDescent="0.35">
      <c r="A196" t="s">
        <v>374</v>
      </c>
      <c r="B196">
        <v>0.87606354623172922</v>
      </c>
      <c r="C196">
        <v>-7.864989E-2</v>
      </c>
      <c r="D196">
        <v>-2.0550774399999998</v>
      </c>
      <c r="E196">
        <v>-18.665611800000001</v>
      </c>
      <c r="F196">
        <f t="shared" si="30"/>
        <v>0.87675311158956604</v>
      </c>
      <c r="G196">
        <f t="shared" si="31"/>
        <v>0.85842230313997125</v>
      </c>
      <c r="H196">
        <f>Table2[[#This Row],[Price]]/(1+Table2[[#This Row],[7d]]/100)</f>
        <v>1.0771133411337681</v>
      </c>
      <c r="I196" s="6" t="str">
        <f t="shared" si="32"/>
        <v>0-5 USD</v>
      </c>
      <c r="J196" s="6" t="str">
        <f t="shared" si="33"/>
        <v>0.5 - 5</v>
      </c>
      <c r="K196" s="6">
        <f t="shared" si="34"/>
        <v>-6.933113043333333</v>
      </c>
    </row>
    <row r="197" spans="1:11" x14ac:dyDescent="0.35">
      <c r="A197" t="s">
        <v>360</v>
      </c>
      <c r="B197">
        <v>1.4713716835425489E-3</v>
      </c>
      <c r="C197">
        <v>-0.88965097999999998</v>
      </c>
      <c r="D197">
        <v>-6.73850646</v>
      </c>
      <c r="E197">
        <v>-20.671187759999999</v>
      </c>
      <c r="F197">
        <f t="shared" si="30"/>
        <v>1.4845792574553773E-3</v>
      </c>
      <c r="G197">
        <f t="shared" si="31"/>
        <v>1.3784825479958743E-3</v>
      </c>
      <c r="H197">
        <f>Table2[[#This Row],[Price]]/(1+Table2[[#This Row],[7d]]/100)</f>
        <v>1.8547758903676595E-3</v>
      </c>
      <c r="I197" s="6" t="str">
        <f t="shared" si="32"/>
        <v>0-5 USD</v>
      </c>
      <c r="J197" s="6" t="str">
        <f t="shared" si="33"/>
        <v>0 - 0.05</v>
      </c>
      <c r="K197" s="6">
        <f t="shared" si="34"/>
        <v>-9.4331150666666659</v>
      </c>
    </row>
    <row r="198" spans="1:11" x14ac:dyDescent="0.35">
      <c r="A198" t="s">
        <v>425</v>
      </c>
      <c r="B198">
        <v>5.5400490078877356E-3</v>
      </c>
      <c r="C198">
        <v>-0.82290328000000001</v>
      </c>
      <c r="D198">
        <v>-4.4748505400000003</v>
      </c>
      <c r="E198">
        <v>-4.9732629700000004</v>
      </c>
      <c r="F198">
        <f t="shared" si="30"/>
        <v>5.5860165210608872E-3</v>
      </c>
      <c r="G198">
        <f t="shared" si="31"/>
        <v>5.3027584909218243E-3</v>
      </c>
      <c r="H198">
        <f>Table2[[#This Row],[Price]]/(1+Table2[[#This Row],[7d]]/100)</f>
        <v>5.8299897281948541E-3</v>
      </c>
      <c r="I198" s="6" t="str">
        <f t="shared" si="32"/>
        <v>0-5 USD</v>
      </c>
      <c r="J198" s="6" t="str">
        <f t="shared" si="33"/>
        <v>0 - 0.05</v>
      </c>
      <c r="K198" s="6">
        <f t="shared" si="34"/>
        <v>-3.4236722633333336</v>
      </c>
    </row>
    <row r="199" spans="1:11" x14ac:dyDescent="0.35">
      <c r="A199" t="s">
        <v>426</v>
      </c>
      <c r="B199">
        <v>2.7072134353621519E-2</v>
      </c>
      <c r="C199">
        <v>-0.49439527</v>
      </c>
      <c r="D199">
        <v>-3.6943980500000002</v>
      </c>
      <c r="E199">
        <v>-8.8951768999999992</v>
      </c>
      <c r="F199">
        <f t="shared" si="30"/>
        <v>2.7206642708297139E-2</v>
      </c>
      <c r="G199">
        <f t="shared" si="31"/>
        <v>2.6107615129380191E-2</v>
      </c>
      <c r="H199">
        <f>Table2[[#This Row],[Price]]/(1+Table2[[#This Row],[7d]]/100)</f>
        <v>2.9715368991942555E-2</v>
      </c>
      <c r="I199" s="6" t="str">
        <f t="shared" si="32"/>
        <v>0-5 USD</v>
      </c>
      <c r="J199" s="6" t="str">
        <f t="shared" si="33"/>
        <v>0 - 0.05</v>
      </c>
      <c r="K199" s="6">
        <f t="shared" si="34"/>
        <v>-4.3613234066666662</v>
      </c>
    </row>
    <row r="200" spans="1:11" x14ac:dyDescent="0.35">
      <c r="A200" t="s">
        <v>378</v>
      </c>
      <c r="B200">
        <v>2.0375481287163329E-2</v>
      </c>
      <c r="C200">
        <v>-0.95031993999999997</v>
      </c>
      <c r="D200">
        <v>-1.9194185399999999</v>
      </c>
      <c r="E200">
        <v>-24.950897439999999</v>
      </c>
      <c r="F200">
        <f t="shared" si="30"/>
        <v>2.0570971329559817E-2</v>
      </c>
      <c r="G200">
        <f t="shared" si="31"/>
        <v>1.9991755819492463E-2</v>
      </c>
      <c r="H200">
        <f>Table2[[#This Row],[Price]]/(1+Table2[[#This Row],[7d]]/100)</f>
        <v>2.714953356154207E-2</v>
      </c>
      <c r="I200" s="6" t="str">
        <f t="shared" si="32"/>
        <v>0-5 USD</v>
      </c>
      <c r="J200" s="6" t="str">
        <f t="shared" si="33"/>
        <v>0 - 0.05</v>
      </c>
      <c r="K200" s="6">
        <f t="shared" si="34"/>
        <v>-9.2735453066666658</v>
      </c>
    </row>
    <row r="201" spans="1:11" x14ac:dyDescent="0.35">
      <c r="A201" t="s">
        <v>370</v>
      </c>
      <c r="B201">
        <v>0.1206022889616909</v>
      </c>
      <c r="C201">
        <v>-0.25492337999999998</v>
      </c>
      <c r="D201">
        <v>-2.2841704900000002</v>
      </c>
      <c r="E201">
        <v>-17.900708330000001</v>
      </c>
      <c r="F201">
        <f t="shared" si="30"/>
        <v>0.12091051814131225</v>
      </c>
      <c r="G201">
        <f t="shared" si="31"/>
        <v>0.11790904534292704</v>
      </c>
      <c r="H201">
        <f>Table2[[#This Row],[Price]]/(1+Table2[[#This Row],[7d]]/100)</f>
        <v>0.1468980870705372</v>
      </c>
      <c r="I201" s="6" t="str">
        <f t="shared" si="32"/>
        <v>0-5 USD</v>
      </c>
      <c r="J201" s="6" t="str">
        <f t="shared" si="33"/>
        <v>0.05 - 0.5</v>
      </c>
      <c r="K201" s="6">
        <f t="shared" si="34"/>
        <v>-6.8132674000000009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21"/>
  <sheetViews>
    <sheetView workbookViewId="0">
      <selection activeCell="C13" sqref="A3:D14"/>
    </sheetView>
  </sheetViews>
  <sheetFormatPr defaultRowHeight="14.5" x14ac:dyDescent="0.35"/>
  <cols>
    <col min="1" max="1" width="12.1796875" customWidth="1"/>
    <col min="2" max="2" width="12.08984375" customWidth="1"/>
    <col min="3" max="3" width="13.1796875" customWidth="1"/>
    <col min="4" max="4" width="12.08984375" customWidth="1"/>
  </cols>
  <sheetData>
    <row r="1" spans="1:4" x14ac:dyDescent="0.35">
      <c r="A1" s="4" t="s">
        <v>407</v>
      </c>
      <c r="B1" t="s" vm="1">
        <v>411</v>
      </c>
    </row>
    <row r="3" spans="1:4" x14ac:dyDescent="0.35">
      <c r="A3" s="4" t="s">
        <v>399</v>
      </c>
      <c r="B3" t="s">
        <v>409</v>
      </c>
      <c r="C3" s="13" t="s">
        <v>405</v>
      </c>
      <c r="D3" t="s">
        <v>410</v>
      </c>
    </row>
    <row r="4" spans="1:4" x14ac:dyDescent="0.35">
      <c r="A4" s="5" t="s">
        <v>307</v>
      </c>
      <c r="B4" s="13">
        <v>0.83090162498184206</v>
      </c>
      <c r="C4" s="13">
        <v>0.82664916411738176</v>
      </c>
      <c r="D4" s="6">
        <v>4.2524608644602946E-3</v>
      </c>
    </row>
    <row r="5" spans="1:4" x14ac:dyDescent="0.35">
      <c r="A5" s="5" t="s">
        <v>368</v>
      </c>
      <c r="B5" s="13">
        <v>0.15169948145184253</v>
      </c>
      <c r="C5" s="13">
        <v>0.1512500139181073</v>
      </c>
      <c r="D5" s="6">
        <v>4.4946753373523163E-4</v>
      </c>
    </row>
    <row r="6" spans="1:4" x14ac:dyDescent="0.35">
      <c r="A6" s="5" t="s">
        <v>291</v>
      </c>
      <c r="B6" s="13">
        <v>2.6212842733273813</v>
      </c>
      <c r="C6" s="13">
        <v>2.6126607720811292</v>
      </c>
      <c r="D6" s="6">
        <v>8.6235012462521077E-3</v>
      </c>
    </row>
    <row r="7" spans="1:4" x14ac:dyDescent="0.35">
      <c r="A7" s="5" t="s">
        <v>387</v>
      </c>
      <c r="B7" s="13">
        <v>0.29331756723759655</v>
      </c>
      <c r="C7" s="13">
        <v>0.29258468213703387</v>
      </c>
      <c r="D7" s="6">
        <v>7.3288510056268574E-4</v>
      </c>
    </row>
    <row r="8" spans="1:4" x14ac:dyDescent="0.35">
      <c r="A8" s="5" t="s">
        <v>362</v>
      </c>
      <c r="B8" s="13">
        <v>0.3882928950675168</v>
      </c>
      <c r="C8" s="13">
        <v>0.38760759046732896</v>
      </c>
      <c r="D8" s="6">
        <v>6.8530460018784156E-4</v>
      </c>
    </row>
    <row r="9" spans="1:4" x14ac:dyDescent="0.35">
      <c r="A9" s="5" t="s">
        <v>200</v>
      </c>
      <c r="B9" s="13">
        <v>0.33919794891766891</v>
      </c>
      <c r="C9" s="13">
        <v>0.33739684359133593</v>
      </c>
      <c r="D9" s="6">
        <v>1.8011053263329857E-3</v>
      </c>
    </row>
    <row r="10" spans="1:4" x14ac:dyDescent="0.35">
      <c r="A10" s="5" t="s">
        <v>100</v>
      </c>
      <c r="B10" s="13">
        <v>0.16428946276544718</v>
      </c>
      <c r="C10" s="13">
        <v>0.16364984575491615</v>
      </c>
      <c r="D10" s="6">
        <v>6.3961701053102948E-4</v>
      </c>
    </row>
    <row r="11" spans="1:4" x14ac:dyDescent="0.35">
      <c r="A11" s="5" t="s">
        <v>104</v>
      </c>
      <c r="B11" s="13">
        <v>0.99984869784091468</v>
      </c>
      <c r="C11" s="13">
        <v>0.99879216769534751</v>
      </c>
      <c r="D11" s="6">
        <v>1.0565301455671694E-3</v>
      </c>
    </row>
    <row r="12" spans="1:4" x14ac:dyDescent="0.35">
      <c r="A12" s="5" t="s">
        <v>175</v>
      </c>
      <c r="B12" s="13">
        <v>0.99773379909180548</v>
      </c>
      <c r="C12" s="13">
        <v>0.99728502781028616</v>
      </c>
      <c r="D12" s="6">
        <v>4.4877128151932233E-4</v>
      </c>
    </row>
    <row r="13" spans="1:4" x14ac:dyDescent="0.35">
      <c r="A13" s="5" t="s">
        <v>114</v>
      </c>
      <c r="B13" s="13">
        <v>0.99810411764851903</v>
      </c>
      <c r="C13" s="13">
        <v>0.99737019222044954</v>
      </c>
      <c r="D13" s="6">
        <v>7.339254280694929E-4</v>
      </c>
    </row>
    <row r="14" spans="1:4" x14ac:dyDescent="0.35">
      <c r="A14" s="5" t="s">
        <v>398</v>
      </c>
      <c r="B14" s="13">
        <v>7.7846698683305346</v>
      </c>
      <c r="C14" s="13">
        <v>7.7652462997933167</v>
      </c>
      <c r="D14" s="6">
        <v>1.9423568537218161E-2</v>
      </c>
    </row>
    <row r="17" spans="1:12" x14ac:dyDescent="0.35">
      <c r="A17" s="4" t="s">
        <v>399</v>
      </c>
      <c r="B17" t="s">
        <v>410</v>
      </c>
    </row>
    <row r="18" spans="1:12" x14ac:dyDescent="0.35">
      <c r="A18" s="5" t="s">
        <v>307</v>
      </c>
      <c r="B18" s="6">
        <v>4.2524608644602946E-3</v>
      </c>
    </row>
    <row r="19" spans="1:12" x14ac:dyDescent="0.35">
      <c r="A19" s="5" t="s">
        <v>369</v>
      </c>
      <c r="B19" s="6">
        <v>4.4946753373523163E-4</v>
      </c>
      <c r="K19" s="5"/>
      <c r="L19" s="6"/>
    </row>
    <row r="20" spans="1:12" x14ac:dyDescent="0.35">
      <c r="A20" s="5" t="s">
        <v>292</v>
      </c>
      <c r="B20" s="6">
        <v>8.6235012462521077E-3</v>
      </c>
      <c r="K20" s="5"/>
      <c r="L20" s="6"/>
    </row>
    <row r="21" spans="1:12" x14ac:dyDescent="0.35">
      <c r="A21" s="5" t="s">
        <v>388</v>
      </c>
      <c r="B21" s="6">
        <v>7.3288510056268574E-4</v>
      </c>
      <c r="K21" s="5"/>
      <c r="L21" s="6"/>
    </row>
    <row r="22" spans="1:12" x14ac:dyDescent="0.35">
      <c r="A22" s="5" t="s">
        <v>363</v>
      </c>
      <c r="B22" s="6">
        <v>6.8530460018784156E-4</v>
      </c>
      <c r="K22" s="5"/>
      <c r="L22" s="6"/>
    </row>
    <row r="23" spans="1:12" x14ac:dyDescent="0.35">
      <c r="A23" s="5" t="s">
        <v>101</v>
      </c>
      <c r="B23" s="6">
        <v>6.3961701053102948E-4</v>
      </c>
      <c r="K23" s="5"/>
      <c r="L23" s="6"/>
    </row>
    <row r="24" spans="1:12" x14ac:dyDescent="0.35">
      <c r="A24" s="5" t="s">
        <v>105</v>
      </c>
      <c r="B24" s="6">
        <v>1.0565301455671694E-3</v>
      </c>
      <c r="K24" s="5"/>
      <c r="L24" s="6"/>
    </row>
    <row r="25" spans="1:12" x14ac:dyDescent="0.35">
      <c r="A25" s="5" t="s">
        <v>201</v>
      </c>
      <c r="B25" s="6">
        <v>1.8011053263329857E-3</v>
      </c>
      <c r="K25" s="5"/>
      <c r="L25" s="6"/>
    </row>
    <row r="26" spans="1:12" x14ac:dyDescent="0.35">
      <c r="A26" s="5" t="s">
        <v>176</v>
      </c>
      <c r="B26" s="6">
        <v>4.4877128151932233E-4</v>
      </c>
      <c r="K26" s="5"/>
      <c r="L26" s="6"/>
    </row>
    <row r="27" spans="1:12" x14ac:dyDescent="0.35">
      <c r="A27" s="5" t="s">
        <v>114</v>
      </c>
      <c r="B27" s="6">
        <v>7.339254280694929E-4</v>
      </c>
      <c r="K27" s="5"/>
      <c r="L27" s="6"/>
    </row>
    <row r="28" spans="1:12" x14ac:dyDescent="0.35">
      <c r="A28" s="5" t="s">
        <v>398</v>
      </c>
      <c r="B28" s="6">
        <v>1.9423568537218161E-2</v>
      </c>
      <c r="K28" s="5"/>
      <c r="L28" s="6"/>
    </row>
    <row r="29" spans="1:12" x14ac:dyDescent="0.35">
      <c r="A29" s="5"/>
      <c r="B29" s="6"/>
      <c r="K29" s="5"/>
      <c r="L29" s="6"/>
    </row>
    <row r="30" spans="1:12" x14ac:dyDescent="0.35">
      <c r="A30" s="5"/>
      <c r="B30" s="6"/>
    </row>
    <row r="31" spans="1:12" x14ac:dyDescent="0.35">
      <c r="A31" s="5"/>
      <c r="B31" s="6"/>
    </row>
    <row r="32" spans="1:12" x14ac:dyDescent="0.35">
      <c r="A32" s="5"/>
      <c r="B32" s="6"/>
    </row>
    <row r="33" spans="1:2" x14ac:dyDescent="0.35">
      <c r="A33" s="5"/>
      <c r="B33" s="6"/>
    </row>
    <row r="198" spans="1:1" x14ac:dyDescent="0.35">
      <c r="A198" s="5"/>
    </row>
    <row r="199" spans="1:1" x14ac:dyDescent="0.35">
      <c r="A199" s="5"/>
    </row>
    <row r="200" spans="1:1" x14ac:dyDescent="0.35">
      <c r="A200" s="5"/>
    </row>
    <row r="201" spans="1:1" x14ac:dyDescent="0.35">
      <c r="A201" s="5"/>
    </row>
    <row r="202" spans="1:1" x14ac:dyDescent="0.35">
      <c r="A202" s="5"/>
    </row>
    <row r="203" spans="1:1" x14ac:dyDescent="0.35">
      <c r="A203" s="5"/>
    </row>
    <row r="204" spans="1:1" x14ac:dyDescent="0.35">
      <c r="A204" s="5"/>
    </row>
    <row r="205" spans="1:1" x14ac:dyDescent="0.35">
      <c r="A205" s="5"/>
    </row>
    <row r="206" spans="1:1" x14ac:dyDescent="0.35">
      <c r="A206" s="5"/>
    </row>
    <row r="207" spans="1:1" x14ac:dyDescent="0.35">
      <c r="A207" s="5"/>
    </row>
    <row r="208" spans="1:1" x14ac:dyDescent="0.35">
      <c r="A208" s="5"/>
    </row>
    <row r="209" spans="1:1" x14ac:dyDescent="0.35">
      <c r="A209" s="5"/>
    </row>
    <row r="210" spans="1:1" x14ac:dyDescent="0.35">
      <c r="A210" s="5"/>
    </row>
    <row r="211" spans="1:1" x14ac:dyDescent="0.35">
      <c r="A211" s="5"/>
    </row>
    <row r="212" spans="1:1" x14ac:dyDescent="0.35">
      <c r="A212" s="5"/>
    </row>
    <row r="213" spans="1:1" x14ac:dyDescent="0.35">
      <c r="A213" s="5"/>
    </row>
    <row r="214" spans="1:1" x14ac:dyDescent="0.35">
      <c r="A214" s="5"/>
    </row>
    <row r="215" spans="1:1" x14ac:dyDescent="0.35">
      <c r="A215" s="5"/>
    </row>
    <row r="216" spans="1:1" x14ac:dyDescent="0.35">
      <c r="A216" s="5"/>
    </row>
    <row r="217" spans="1:1" x14ac:dyDescent="0.35">
      <c r="A217" s="5"/>
    </row>
    <row r="218" spans="1:1" x14ac:dyDescent="0.35">
      <c r="A218" s="5"/>
    </row>
    <row r="219" spans="1:1" x14ac:dyDescent="0.35">
      <c r="A219" s="5"/>
    </row>
    <row r="220" spans="1:1" x14ac:dyDescent="0.35">
      <c r="A220" s="5"/>
    </row>
    <row r="221" spans="1:1" x14ac:dyDescent="0.35">
      <c r="A221" s="5"/>
    </row>
  </sheetData>
  <conditionalFormatting pivot="1" sqref="D4:D14">
    <cfRule type="dataBar" priority="1">
      <dataBar>
        <cfvo type="min"/>
        <cfvo type="max"/>
        <color rgb="FF008AEF"/>
      </dataBar>
      <extLst>
        <ext xmlns:x14="http://schemas.microsoft.com/office/spreadsheetml/2009/9/main" uri="{B025F937-C7B1-47D3-B67F-A62EFF666E3E}">
          <x14:id>{8059784D-1420-4488-AFA4-77ABF1A2031D}</x14:id>
        </ext>
      </extLst>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dataBar" id="{8059784D-1420-4488-AFA4-77ABF1A2031D}">
            <x14:dataBar minLength="0" maxLength="100" border="1" negativeBarBorderColorSameAsPositive="0">
              <x14:cfvo type="autoMin"/>
              <x14:cfvo type="autoMax"/>
              <x14:borderColor rgb="FF008AEF"/>
              <x14:negativeFillColor rgb="FFFF0000"/>
              <x14:negativeBorderColor rgb="FFFF0000"/>
              <x14:axisColor rgb="FF000000"/>
            </x14:dataBar>
          </x14:cfRule>
          <xm:sqref>D4:D14</xm:sqref>
        </x14:conditionalFormatting>
      </x14:conditionalFormatting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C14"/>
  <sheetViews>
    <sheetView workbookViewId="0">
      <selection activeCell="B8" sqref="A3:C14"/>
    </sheetView>
  </sheetViews>
  <sheetFormatPr defaultRowHeight="14.5" x14ac:dyDescent="0.35"/>
  <cols>
    <col min="1" max="1" width="12.1796875" bestFit="1" customWidth="1"/>
    <col min="2" max="2" width="13.7265625" bestFit="1" customWidth="1"/>
    <col min="3" max="3" width="12.6328125" bestFit="1" customWidth="1"/>
    <col min="4" max="4" width="18.90625" customWidth="1"/>
  </cols>
  <sheetData>
    <row r="3" spans="1:3" x14ac:dyDescent="0.35">
      <c r="A3" s="4" t="s">
        <v>399</v>
      </c>
      <c r="B3" t="s">
        <v>431</v>
      </c>
      <c r="C3" t="s">
        <v>432</v>
      </c>
    </row>
    <row r="4" spans="1:3" x14ac:dyDescent="0.35">
      <c r="A4" s="5" t="s">
        <v>8</v>
      </c>
      <c r="B4" s="6">
        <v>64208.558875300405</v>
      </c>
      <c r="C4" s="6">
        <v>76189.345619899206</v>
      </c>
    </row>
    <row r="5" spans="1:3" x14ac:dyDescent="0.35">
      <c r="A5" s="5" t="s">
        <v>25</v>
      </c>
      <c r="B5" s="6">
        <v>492.38137295839084</v>
      </c>
      <c r="C5" s="6">
        <v>525.71461759344209</v>
      </c>
    </row>
    <row r="6" spans="1:3" x14ac:dyDescent="0.35">
      <c r="A6" s="5" t="s">
        <v>75</v>
      </c>
      <c r="B6" s="6">
        <v>135.49554905085381</v>
      </c>
      <c r="C6" s="6">
        <v>192.80391209343153</v>
      </c>
    </row>
    <row r="7" spans="1:3" x14ac:dyDescent="0.35">
      <c r="A7" s="5" t="s">
        <v>14</v>
      </c>
      <c r="B7" s="6">
        <v>553.35161118747226</v>
      </c>
      <c r="C7" s="6">
        <v>755.00964110786833</v>
      </c>
    </row>
    <row r="8" spans="1:3" x14ac:dyDescent="0.35">
      <c r="A8" s="5" t="s">
        <v>10</v>
      </c>
      <c r="B8" s="6">
        <v>1864.3822156385158</v>
      </c>
      <c r="C8" s="6">
        <v>2258.0888565676223</v>
      </c>
    </row>
    <row r="9" spans="1:3" x14ac:dyDescent="0.35">
      <c r="A9" s="5" t="s">
        <v>31</v>
      </c>
      <c r="B9" s="6">
        <v>352.79228877811454</v>
      </c>
      <c r="C9" s="6">
        <v>391.54001656420093</v>
      </c>
    </row>
    <row r="10" spans="1:3" x14ac:dyDescent="0.35">
      <c r="A10" s="5" t="s">
        <v>77</v>
      </c>
      <c r="B10" s="6">
        <v>5147.0162574468268</v>
      </c>
      <c r="C10" s="6">
        <v>5066.8659814766606</v>
      </c>
    </row>
    <row r="11" spans="1:3" x14ac:dyDescent="0.35">
      <c r="A11" s="5" t="s">
        <v>71</v>
      </c>
      <c r="B11" s="6">
        <v>5116.1191399314794</v>
      </c>
      <c r="C11" s="6">
        <v>5034.9340301460525</v>
      </c>
    </row>
    <row r="12" spans="1:3" x14ac:dyDescent="0.35">
      <c r="A12" s="5" t="s">
        <v>389</v>
      </c>
      <c r="B12" s="6">
        <v>2869.695928071777</v>
      </c>
      <c r="C12" s="6">
        <v>2886.8675793992193</v>
      </c>
    </row>
    <row r="13" spans="1:3" x14ac:dyDescent="0.35">
      <c r="A13" s="5" t="s">
        <v>41</v>
      </c>
      <c r="B13" s="6">
        <v>207.43881532511736</v>
      </c>
      <c r="C13" s="6">
        <v>279.59360659599253</v>
      </c>
    </row>
    <row r="14" spans="1:3" x14ac:dyDescent="0.35">
      <c r="A14" s="5" t="s">
        <v>398</v>
      </c>
      <c r="B14" s="6">
        <v>80947.23205368896</v>
      </c>
      <c r="C14" s="6">
        <v>93580.763861443702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7"/>
  <sheetViews>
    <sheetView workbookViewId="0">
      <selection activeCell="B23" sqref="A20:B27"/>
    </sheetView>
  </sheetViews>
  <sheetFormatPr defaultRowHeight="14.5" x14ac:dyDescent="0.35"/>
  <cols>
    <col min="1" max="1" width="13.26953125" customWidth="1"/>
    <col min="2" max="2" width="17.54296875" customWidth="1"/>
  </cols>
  <sheetData>
    <row r="1" spans="1:2" x14ac:dyDescent="0.35">
      <c r="A1" s="4" t="s">
        <v>433</v>
      </c>
      <c r="B1" t="s" vm="2">
        <v>408</v>
      </c>
    </row>
    <row r="3" spans="1:2" x14ac:dyDescent="0.35">
      <c r="A3" s="4" t="s">
        <v>400</v>
      </c>
      <c r="B3" t="s">
        <v>434</v>
      </c>
    </row>
    <row r="4" spans="1:2" x14ac:dyDescent="0.35">
      <c r="A4" s="5" t="s">
        <v>12</v>
      </c>
      <c r="B4" s="6">
        <v>146962642926.80096</v>
      </c>
    </row>
    <row r="5" spans="1:2" x14ac:dyDescent="0.35">
      <c r="A5" s="5" t="s">
        <v>8</v>
      </c>
      <c r="B5" s="6">
        <v>79431371927.590775</v>
      </c>
    </row>
    <row r="6" spans="1:2" x14ac:dyDescent="0.35">
      <c r="A6" s="5" t="s">
        <v>10</v>
      </c>
      <c r="B6" s="6">
        <v>44450877161.72728</v>
      </c>
    </row>
    <row r="7" spans="1:2" x14ac:dyDescent="0.35">
      <c r="A7" s="5" t="s">
        <v>16</v>
      </c>
      <c r="B7" s="6">
        <v>17960088237.617249</v>
      </c>
    </row>
    <row r="8" spans="1:2" x14ac:dyDescent="0.35">
      <c r="A8" s="5" t="s">
        <v>183</v>
      </c>
      <c r="B8" s="6">
        <v>11378638930.897017</v>
      </c>
    </row>
    <row r="9" spans="1:2" x14ac:dyDescent="0.35">
      <c r="A9" s="5" t="s">
        <v>398</v>
      </c>
      <c r="B9" s="6">
        <v>300183619184.6333</v>
      </c>
    </row>
    <row r="18" spans="1:2" x14ac:dyDescent="0.35">
      <c r="A18" s="4" t="s">
        <v>433</v>
      </c>
      <c r="B18" t="s" vm="2">
        <v>408</v>
      </c>
    </row>
    <row r="20" spans="1:2" x14ac:dyDescent="0.35">
      <c r="A20" s="4" t="s">
        <v>400</v>
      </c>
      <c r="B20" t="s">
        <v>434</v>
      </c>
    </row>
    <row r="21" spans="1:2" x14ac:dyDescent="0.35">
      <c r="A21" s="5" t="s">
        <v>8</v>
      </c>
      <c r="B21" s="6">
        <v>79431371927.590775</v>
      </c>
    </row>
    <row r="22" spans="1:2" x14ac:dyDescent="0.35">
      <c r="A22" s="5" t="s">
        <v>14</v>
      </c>
      <c r="B22" s="6">
        <v>4383074905.1874456</v>
      </c>
    </row>
    <row r="23" spans="1:2" x14ac:dyDescent="0.35">
      <c r="A23" s="5" t="s">
        <v>10</v>
      </c>
      <c r="B23" s="6">
        <v>44450877161.72728</v>
      </c>
    </row>
    <row r="24" spans="1:2" x14ac:dyDescent="0.35">
      <c r="A24" s="5" t="s">
        <v>436</v>
      </c>
      <c r="B24" s="6">
        <v>64693210379.999115</v>
      </c>
    </row>
    <row r="25" spans="1:2" x14ac:dyDescent="0.35">
      <c r="A25" s="5" t="s">
        <v>12</v>
      </c>
      <c r="B25" s="6">
        <v>146962642926.80096</v>
      </c>
    </row>
    <row r="26" spans="1:2" x14ac:dyDescent="0.35">
      <c r="A26" s="5" t="s">
        <v>15</v>
      </c>
      <c r="B26" s="6">
        <v>5464903595.5785408</v>
      </c>
    </row>
    <row r="27" spans="1:2" x14ac:dyDescent="0.35">
      <c r="A27" s="5" t="s">
        <v>398</v>
      </c>
      <c r="B27" s="6">
        <v>345386080896.88391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4"/>
  <sheetViews>
    <sheetView workbookViewId="0">
      <selection activeCell="A8" sqref="A3:B14"/>
    </sheetView>
  </sheetViews>
  <sheetFormatPr defaultRowHeight="14.5" x14ac:dyDescent="0.35"/>
  <cols>
    <col min="1" max="1" width="24" customWidth="1"/>
    <col min="2" max="2" width="17.54296875" bestFit="1" customWidth="1"/>
  </cols>
  <sheetData>
    <row r="1" spans="1:2" x14ac:dyDescent="0.35">
      <c r="A1" s="4" t="s">
        <v>437</v>
      </c>
      <c r="B1" t="s">
        <v>438</v>
      </c>
    </row>
    <row r="3" spans="1:2" x14ac:dyDescent="0.35">
      <c r="A3" s="4" t="s">
        <v>400</v>
      </c>
      <c r="B3" t="s">
        <v>434</v>
      </c>
    </row>
    <row r="4" spans="1:2" x14ac:dyDescent="0.35">
      <c r="A4" s="5" t="s">
        <v>8</v>
      </c>
      <c r="B4" s="6">
        <v>79431371927.590775</v>
      </c>
    </row>
    <row r="5" spans="1:2" x14ac:dyDescent="0.35">
      <c r="A5" s="5" t="s">
        <v>14</v>
      </c>
      <c r="B5" s="6">
        <v>4383074905.1874456</v>
      </c>
    </row>
    <row r="6" spans="1:2" x14ac:dyDescent="0.35">
      <c r="A6" s="5" t="s">
        <v>21</v>
      </c>
      <c r="B6" s="6">
        <v>2006479617.2378588</v>
      </c>
    </row>
    <row r="7" spans="1:2" x14ac:dyDescent="0.35">
      <c r="A7" s="5" t="s">
        <v>10</v>
      </c>
      <c r="B7" s="6">
        <v>44450877161.72728</v>
      </c>
    </row>
    <row r="8" spans="1:2" x14ac:dyDescent="0.35">
      <c r="A8" s="5" t="s">
        <v>183</v>
      </c>
      <c r="B8" s="6">
        <v>11378638930.897017</v>
      </c>
    </row>
    <row r="9" spans="1:2" x14ac:dyDescent="0.35">
      <c r="A9" s="5" t="s">
        <v>17</v>
      </c>
      <c r="B9" s="6">
        <v>7375324263.619132</v>
      </c>
    </row>
    <row r="10" spans="1:2" x14ac:dyDescent="0.35">
      <c r="A10" s="5" t="s">
        <v>12</v>
      </c>
      <c r="B10" s="6">
        <v>146962642926.80096</v>
      </c>
    </row>
    <row r="11" spans="1:2" x14ac:dyDescent="0.35">
      <c r="A11" s="5" t="s">
        <v>16</v>
      </c>
      <c r="B11" s="6">
        <v>17960088237.617249</v>
      </c>
    </row>
    <row r="12" spans="1:2" x14ac:dyDescent="0.35">
      <c r="A12" s="5" t="s">
        <v>45</v>
      </c>
      <c r="B12" s="6">
        <v>2331998634.426074</v>
      </c>
    </row>
    <row r="13" spans="1:2" x14ac:dyDescent="0.35">
      <c r="A13" s="5" t="s">
        <v>15</v>
      </c>
      <c r="B13" s="6">
        <v>5464903595.5785408</v>
      </c>
    </row>
    <row r="14" spans="1:2" x14ac:dyDescent="0.35">
      <c r="A14" s="5" t="s">
        <v>398</v>
      </c>
      <c r="B14" s="6">
        <v>321745400200.68231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04"/>
  <sheetViews>
    <sheetView zoomScale="85" zoomScaleNormal="85" workbookViewId="0">
      <selection activeCell="G29" sqref="G29"/>
    </sheetView>
  </sheetViews>
  <sheetFormatPr defaultRowHeight="14.5" x14ac:dyDescent="0.35"/>
  <cols>
    <col min="1" max="1" width="29.6328125" bestFit="1" customWidth="1"/>
    <col min="2" max="2" width="18.90625" bestFit="1" customWidth="1"/>
    <col min="10" max="10" width="17.36328125" customWidth="1"/>
    <col min="12" max="12" width="18.453125" customWidth="1"/>
  </cols>
  <sheetData>
    <row r="1" spans="1:2" x14ac:dyDescent="0.35">
      <c r="A1" s="4" t="s">
        <v>441</v>
      </c>
      <c r="B1" t="s">
        <v>438</v>
      </c>
    </row>
    <row r="3" spans="1:2" x14ac:dyDescent="0.35">
      <c r="A3" s="4" t="s">
        <v>400</v>
      </c>
      <c r="B3" t="s">
        <v>442</v>
      </c>
    </row>
    <row r="4" spans="1:2" x14ac:dyDescent="0.35">
      <c r="A4" s="5" t="s">
        <v>307</v>
      </c>
      <c r="B4" s="6">
        <v>-6.9478215299999997</v>
      </c>
    </row>
    <row r="5" spans="1:2" x14ac:dyDescent="0.35">
      <c r="A5" s="5" t="s">
        <v>334</v>
      </c>
      <c r="B5" s="6">
        <v>-7.6123872733333329</v>
      </c>
    </row>
    <row r="6" spans="1:2" x14ac:dyDescent="0.35">
      <c r="A6" s="5" t="s">
        <v>79</v>
      </c>
      <c r="B6" s="6">
        <v>-7.2434208399999997</v>
      </c>
    </row>
    <row r="7" spans="1:2" x14ac:dyDescent="0.35">
      <c r="A7" s="5" t="s">
        <v>254</v>
      </c>
      <c r="B7" s="6">
        <v>-6.2706141500000001</v>
      </c>
    </row>
    <row r="8" spans="1:2" x14ac:dyDescent="0.35">
      <c r="A8" s="5" t="s">
        <v>204</v>
      </c>
      <c r="B8" s="6">
        <v>-9.545625003333333</v>
      </c>
    </row>
    <row r="9" spans="1:2" x14ac:dyDescent="0.35">
      <c r="A9" s="5" t="s">
        <v>223</v>
      </c>
      <c r="B9" s="6">
        <v>-3.2352362199999996</v>
      </c>
    </row>
    <row r="10" spans="1:2" x14ac:dyDescent="0.35">
      <c r="A10" s="5" t="s">
        <v>123</v>
      </c>
      <c r="B10" s="6">
        <v>-7.4451643599999997</v>
      </c>
    </row>
    <row r="11" spans="1:2" x14ac:dyDescent="0.35">
      <c r="A11" s="5" t="s">
        <v>340</v>
      </c>
      <c r="B11" s="6">
        <v>-5.3483588733333329</v>
      </c>
    </row>
    <row r="12" spans="1:2" x14ac:dyDescent="0.35">
      <c r="A12" s="5" t="s">
        <v>370</v>
      </c>
      <c r="B12" s="6">
        <v>-6.8132674000000009</v>
      </c>
    </row>
    <row r="13" spans="1:2" x14ac:dyDescent="0.35">
      <c r="A13" s="5" t="s">
        <v>115</v>
      </c>
      <c r="B13" s="6">
        <v>-9.7481182066666658</v>
      </c>
    </row>
    <row r="14" spans="1:2" x14ac:dyDescent="0.35">
      <c r="A14" s="5" t="s">
        <v>129</v>
      </c>
      <c r="B14" s="6">
        <v>-8.1542020700000002</v>
      </c>
    </row>
    <row r="15" spans="1:2" x14ac:dyDescent="0.35">
      <c r="A15" s="5" t="s">
        <v>179</v>
      </c>
      <c r="B15" s="6">
        <v>-7.3746688366666673</v>
      </c>
    </row>
    <row r="16" spans="1:2" x14ac:dyDescent="0.35">
      <c r="A16" s="5" t="s">
        <v>303</v>
      </c>
      <c r="B16" s="6">
        <v>-13.694347543333334</v>
      </c>
    </row>
    <row r="17" spans="1:12" x14ac:dyDescent="0.35">
      <c r="A17" s="5" t="s">
        <v>94</v>
      </c>
      <c r="B17" s="6">
        <v>6.3947337466666667</v>
      </c>
    </row>
    <row r="18" spans="1:12" x14ac:dyDescent="0.35">
      <c r="A18" s="5" t="s">
        <v>51</v>
      </c>
      <c r="B18" s="6">
        <v>-6.3106952499999993</v>
      </c>
    </row>
    <row r="19" spans="1:12" x14ac:dyDescent="0.35">
      <c r="A19" s="5" t="s">
        <v>417</v>
      </c>
      <c r="B19" s="6">
        <v>9.1209986533333343</v>
      </c>
      <c r="J19" s="23" t="s">
        <v>443</v>
      </c>
      <c r="L19" s="23" t="s">
        <v>444</v>
      </c>
    </row>
    <row r="20" spans="1:12" x14ac:dyDescent="0.35">
      <c r="A20" s="5" t="s">
        <v>213</v>
      </c>
      <c r="B20" s="6">
        <v>-3.6196699766666662</v>
      </c>
      <c r="J20" t="str">
        <f>INDEX(A4:A203, MATCH(MIN(B4:B203), B4:B203,0))</f>
        <v>Trust Wallet Token</v>
      </c>
      <c r="L20">
        <f>MIN(B4:B203)</f>
        <v>-15.837252873333334</v>
      </c>
    </row>
    <row r="21" spans="1:12" x14ac:dyDescent="0.35">
      <c r="A21" s="5" t="s">
        <v>281</v>
      </c>
      <c r="B21" s="6">
        <v>1.7571327200000002</v>
      </c>
    </row>
    <row r="22" spans="1:12" x14ac:dyDescent="0.35">
      <c r="A22" s="5" t="s">
        <v>352</v>
      </c>
      <c r="B22" s="6">
        <v>-5.5758470633333337</v>
      </c>
      <c r="J22" s="23" t="s">
        <v>1</v>
      </c>
      <c r="L22" s="23" t="s">
        <v>445</v>
      </c>
    </row>
    <row r="23" spans="1:12" x14ac:dyDescent="0.35">
      <c r="A23" s="5" t="s">
        <v>419</v>
      </c>
      <c r="B23" s="6">
        <v>14.274347793333334</v>
      </c>
      <c r="J23" t="str">
        <f>VLOOKUP(J20,cleaned_data!A:C,2,FALSE)</f>
        <v>TWT</v>
      </c>
      <c r="L23">
        <f>COUNTA(A4:A203)</f>
        <v>200</v>
      </c>
    </row>
    <row r="24" spans="1:12" x14ac:dyDescent="0.35">
      <c r="A24" s="5" t="s">
        <v>8</v>
      </c>
      <c r="B24" s="6">
        <v>-5.5789420400000003</v>
      </c>
    </row>
    <row r="25" spans="1:12" x14ac:dyDescent="0.35">
      <c r="A25" s="5" t="s">
        <v>25</v>
      </c>
      <c r="B25" s="6">
        <v>-2.4778627966666664</v>
      </c>
      <c r="J25" s="23" t="s">
        <v>413</v>
      </c>
    </row>
    <row r="26" spans="1:12" x14ac:dyDescent="0.35">
      <c r="A26" s="5" t="s">
        <v>232</v>
      </c>
      <c r="B26" s="6">
        <v>-4.0460451766666665</v>
      </c>
      <c r="J26">
        <f>VLOOKUP(J20,cleaned_data!A:E,3,FALSE)</f>
        <v>0.81503951315228895</v>
      </c>
    </row>
    <row r="27" spans="1:12" x14ac:dyDescent="0.35">
      <c r="A27" s="5" t="s">
        <v>73</v>
      </c>
      <c r="B27" s="6">
        <v>-11.566127426666668</v>
      </c>
    </row>
    <row r="28" spans="1:12" x14ac:dyDescent="0.35">
      <c r="A28" s="5" t="s">
        <v>75</v>
      </c>
      <c r="B28" s="6">
        <v>-10.782946033333333</v>
      </c>
    </row>
    <row r="29" spans="1:12" x14ac:dyDescent="0.35">
      <c r="A29" s="5" t="s">
        <v>206</v>
      </c>
      <c r="B29" s="6">
        <v>-2.7788925199999999</v>
      </c>
    </row>
    <row r="30" spans="1:12" x14ac:dyDescent="0.35">
      <c r="A30" s="5" t="s">
        <v>14</v>
      </c>
      <c r="B30" s="6">
        <v>-9.7472052866666665</v>
      </c>
    </row>
    <row r="31" spans="1:12" x14ac:dyDescent="0.35">
      <c r="A31" s="5" t="s">
        <v>149</v>
      </c>
      <c r="B31" s="6">
        <v>-8.1163285433333332</v>
      </c>
    </row>
    <row r="32" spans="1:12" x14ac:dyDescent="0.35">
      <c r="A32" s="5" t="s">
        <v>301</v>
      </c>
      <c r="B32" s="6">
        <v>-5.4354382033333337</v>
      </c>
    </row>
    <row r="33" spans="1:2" x14ac:dyDescent="0.35">
      <c r="A33" s="5" t="s">
        <v>37</v>
      </c>
      <c r="B33" s="6">
        <v>-3.7675544400000001</v>
      </c>
    </row>
    <row r="34" spans="1:2" x14ac:dyDescent="0.35">
      <c r="A34" s="5" t="s">
        <v>23</v>
      </c>
      <c r="B34" s="6">
        <v>-6.7614313566666668</v>
      </c>
    </row>
    <row r="35" spans="1:2" x14ac:dyDescent="0.35">
      <c r="A35" s="5" t="s">
        <v>221</v>
      </c>
      <c r="B35" s="6">
        <v>-8.8377475866666675</v>
      </c>
    </row>
    <row r="36" spans="1:2" x14ac:dyDescent="0.35">
      <c r="A36" s="5" t="s">
        <v>33</v>
      </c>
      <c r="B36" s="6">
        <v>-6.36421554</v>
      </c>
    </row>
    <row r="37" spans="1:2" x14ac:dyDescent="0.35">
      <c r="A37" s="5" t="s">
        <v>173</v>
      </c>
      <c r="B37" s="6">
        <v>-5.6013958566666666</v>
      </c>
    </row>
    <row r="38" spans="1:2" x14ac:dyDescent="0.35">
      <c r="A38" s="5" t="s">
        <v>283</v>
      </c>
      <c r="B38" s="6">
        <v>-8.2710886200000004</v>
      </c>
    </row>
    <row r="39" spans="1:2" x14ac:dyDescent="0.35">
      <c r="A39" s="5" t="s">
        <v>236</v>
      </c>
      <c r="B39" s="6">
        <v>-8.6960264966666667</v>
      </c>
    </row>
    <row r="40" spans="1:2" x14ac:dyDescent="0.35">
      <c r="A40" s="5" t="s">
        <v>295</v>
      </c>
      <c r="B40" s="6">
        <v>-5.2108480033333331</v>
      </c>
    </row>
    <row r="41" spans="1:2" x14ac:dyDescent="0.35">
      <c r="A41" s="5" t="s">
        <v>121</v>
      </c>
      <c r="B41" s="6">
        <v>-3.2719571266666665</v>
      </c>
    </row>
    <row r="42" spans="1:2" x14ac:dyDescent="0.35">
      <c r="A42" s="5" t="s">
        <v>422</v>
      </c>
      <c r="B42" s="6">
        <v>2.2152074866666669</v>
      </c>
    </row>
    <row r="43" spans="1:2" x14ac:dyDescent="0.35">
      <c r="A43" s="5" t="s">
        <v>63</v>
      </c>
      <c r="B43" s="6">
        <v>-4.5625344466666666</v>
      </c>
    </row>
    <row r="44" spans="1:2" x14ac:dyDescent="0.35">
      <c r="A44" s="5" t="s">
        <v>181</v>
      </c>
      <c r="B44" s="6">
        <v>-9.3838367266666669</v>
      </c>
    </row>
    <row r="45" spans="1:2" x14ac:dyDescent="0.35">
      <c r="A45" s="5" t="s">
        <v>43</v>
      </c>
      <c r="B45" s="6">
        <v>1.4563483333333333E-2</v>
      </c>
    </row>
    <row r="46" spans="1:2" x14ac:dyDescent="0.35">
      <c r="A46" s="5" t="s">
        <v>151</v>
      </c>
      <c r="B46" s="6">
        <v>-10.331216203333334</v>
      </c>
    </row>
    <row r="47" spans="1:2" x14ac:dyDescent="0.35">
      <c r="A47" s="5" t="s">
        <v>265</v>
      </c>
      <c r="B47" s="6">
        <v>-7.0021935400000004</v>
      </c>
    </row>
    <row r="48" spans="1:2" x14ac:dyDescent="0.35">
      <c r="A48" s="5" t="s">
        <v>248</v>
      </c>
      <c r="B48" s="6">
        <v>2.58037728</v>
      </c>
    </row>
    <row r="49" spans="1:2" x14ac:dyDescent="0.35">
      <c r="A49" s="5" t="s">
        <v>336</v>
      </c>
      <c r="B49" s="6">
        <v>-9.8318423766666658</v>
      </c>
    </row>
    <row r="50" spans="1:2" x14ac:dyDescent="0.35">
      <c r="A50" s="5" t="s">
        <v>426</v>
      </c>
      <c r="B50" s="6">
        <v>-4.3613234066666662</v>
      </c>
    </row>
    <row r="51" spans="1:2" x14ac:dyDescent="0.35">
      <c r="A51" s="5" t="s">
        <v>267</v>
      </c>
      <c r="B51" s="6">
        <v>-4.16295108</v>
      </c>
    </row>
    <row r="52" spans="1:2" x14ac:dyDescent="0.35">
      <c r="A52" s="5" t="s">
        <v>424</v>
      </c>
      <c r="B52" s="6">
        <v>-4.2669683633333335</v>
      </c>
    </row>
    <row r="53" spans="1:2" x14ac:dyDescent="0.35">
      <c r="A53" s="5" t="s">
        <v>21</v>
      </c>
      <c r="B53" s="6">
        <v>-7.1873078733333324</v>
      </c>
    </row>
    <row r="54" spans="1:2" x14ac:dyDescent="0.35">
      <c r="A54" s="5" t="s">
        <v>252</v>
      </c>
      <c r="B54" s="6">
        <v>-8.1422471033333323</v>
      </c>
    </row>
    <row r="55" spans="1:2" x14ac:dyDescent="0.35">
      <c r="A55" s="5" t="s">
        <v>189</v>
      </c>
      <c r="B55" s="6">
        <v>-13.980368216666667</v>
      </c>
    </row>
    <row r="56" spans="1:2" x14ac:dyDescent="0.35">
      <c r="A56" s="5" t="s">
        <v>299</v>
      </c>
      <c r="B56" s="6">
        <v>-6.3219217933333338</v>
      </c>
    </row>
    <row r="57" spans="1:2" x14ac:dyDescent="0.35">
      <c r="A57" s="5" t="s">
        <v>318</v>
      </c>
      <c r="B57" s="6">
        <v>-9.783122156666666</v>
      </c>
    </row>
    <row r="58" spans="1:2" x14ac:dyDescent="0.35">
      <c r="A58" s="5" t="s">
        <v>110</v>
      </c>
      <c r="B58" s="6">
        <v>-9.6277865333333335</v>
      </c>
    </row>
    <row r="59" spans="1:2" x14ac:dyDescent="0.35">
      <c r="A59" s="5" t="s">
        <v>35</v>
      </c>
      <c r="B59" s="6">
        <v>3.9257396666666666E-2</v>
      </c>
    </row>
    <row r="60" spans="1:2" x14ac:dyDescent="0.35">
      <c r="A60" s="5" t="s">
        <v>208</v>
      </c>
      <c r="B60" s="6">
        <v>-5.3697121499999989</v>
      </c>
    </row>
    <row r="61" spans="1:2" x14ac:dyDescent="0.35">
      <c r="A61" s="5" t="s">
        <v>10</v>
      </c>
      <c r="B61" s="6">
        <v>-6.1859810999999993</v>
      </c>
    </row>
    <row r="62" spans="1:2" x14ac:dyDescent="0.35">
      <c r="A62" s="5" t="s">
        <v>90</v>
      </c>
      <c r="B62" s="6">
        <v>-7.2203274100000003</v>
      </c>
    </row>
    <row r="63" spans="1:2" x14ac:dyDescent="0.35">
      <c r="A63" s="5" t="s">
        <v>240</v>
      </c>
      <c r="B63" s="6">
        <v>-8.4089690600000004</v>
      </c>
    </row>
    <row r="64" spans="1:2" x14ac:dyDescent="0.35">
      <c r="A64" s="5" t="s">
        <v>191</v>
      </c>
      <c r="B64" s="6">
        <v>0.37928182333333332</v>
      </c>
    </row>
    <row r="65" spans="1:2" x14ac:dyDescent="0.35">
      <c r="A65" s="5" t="s">
        <v>293</v>
      </c>
      <c r="B65" s="6">
        <v>0.4530517</v>
      </c>
    </row>
    <row r="66" spans="1:2" x14ac:dyDescent="0.35">
      <c r="A66" s="5" t="s">
        <v>263</v>
      </c>
      <c r="B66" s="6">
        <v>-9.7934535966666676</v>
      </c>
    </row>
    <row r="67" spans="1:2" x14ac:dyDescent="0.35">
      <c r="A67" s="5" t="s">
        <v>135</v>
      </c>
      <c r="B67" s="6">
        <v>-9.1318732466666663</v>
      </c>
    </row>
    <row r="68" spans="1:2" x14ac:dyDescent="0.35">
      <c r="A68" s="5" t="s">
        <v>183</v>
      </c>
      <c r="B68" s="6">
        <v>3.8958383333333332E-2</v>
      </c>
    </row>
    <row r="69" spans="1:2" x14ac:dyDescent="0.35">
      <c r="A69" s="5" t="s">
        <v>139</v>
      </c>
      <c r="B69" s="6">
        <v>-3.8794875599999998</v>
      </c>
    </row>
    <row r="70" spans="1:2" x14ac:dyDescent="0.35">
      <c r="A70" s="5" t="s">
        <v>212</v>
      </c>
      <c r="B70" s="6">
        <v>-7.7119798733333331</v>
      </c>
    </row>
    <row r="71" spans="1:2" x14ac:dyDescent="0.35">
      <c r="A71" s="5" t="s">
        <v>291</v>
      </c>
      <c r="B71" s="6">
        <v>-8.3527276066666669</v>
      </c>
    </row>
    <row r="72" spans="1:2" x14ac:dyDescent="0.35">
      <c r="A72" s="5" t="s">
        <v>362</v>
      </c>
      <c r="B72" s="6">
        <v>-2.433993993333333</v>
      </c>
    </row>
    <row r="73" spans="1:2" x14ac:dyDescent="0.35">
      <c r="A73" s="5" t="s">
        <v>261</v>
      </c>
      <c r="B73" s="6">
        <v>-7.9821284766666665</v>
      </c>
    </row>
    <row r="74" spans="1:2" x14ac:dyDescent="0.35">
      <c r="A74" s="5" t="s">
        <v>381</v>
      </c>
      <c r="B74" s="6">
        <v>-8.5168606066666666</v>
      </c>
    </row>
    <row r="75" spans="1:2" x14ac:dyDescent="0.35">
      <c r="A75" s="5" t="s">
        <v>117</v>
      </c>
      <c r="B75" s="6">
        <v>-5.8290369333333336</v>
      </c>
    </row>
    <row r="76" spans="1:2" x14ac:dyDescent="0.35">
      <c r="A76" s="5" t="s">
        <v>92</v>
      </c>
      <c r="B76" s="6">
        <v>6.9542143333333334E-2</v>
      </c>
    </row>
    <row r="77" spans="1:2" x14ac:dyDescent="0.35">
      <c r="A77" s="5" t="s">
        <v>225</v>
      </c>
      <c r="B77" s="6">
        <v>0.29648370333333318</v>
      </c>
    </row>
    <row r="78" spans="1:2" x14ac:dyDescent="0.35">
      <c r="A78" s="5" t="s">
        <v>285</v>
      </c>
      <c r="B78" s="6">
        <v>-5.9927824066666666</v>
      </c>
    </row>
    <row r="79" spans="1:2" x14ac:dyDescent="0.35">
      <c r="A79" s="5" t="s">
        <v>55</v>
      </c>
      <c r="B79" s="6">
        <v>-2.9506408099999999</v>
      </c>
    </row>
    <row r="80" spans="1:2" x14ac:dyDescent="0.35">
      <c r="A80" s="5" t="s">
        <v>305</v>
      </c>
      <c r="B80" s="6">
        <v>-5.4601880666666665</v>
      </c>
    </row>
    <row r="81" spans="1:2" x14ac:dyDescent="0.35">
      <c r="A81" s="5" t="s">
        <v>350</v>
      </c>
      <c r="B81" s="6">
        <v>-7.8165103033333336</v>
      </c>
    </row>
    <row r="82" spans="1:2" x14ac:dyDescent="0.35">
      <c r="A82" s="5" t="s">
        <v>230</v>
      </c>
      <c r="B82" s="6">
        <v>5.4838089766666664</v>
      </c>
    </row>
    <row r="83" spans="1:2" x14ac:dyDescent="0.35">
      <c r="A83" s="5" t="s">
        <v>27</v>
      </c>
      <c r="B83" s="6">
        <v>-6.01725493</v>
      </c>
    </row>
    <row r="84" spans="1:2" x14ac:dyDescent="0.35">
      <c r="A84" s="5" t="s">
        <v>192</v>
      </c>
      <c r="B84" s="6">
        <v>-7.8285765133333323</v>
      </c>
    </row>
    <row r="85" spans="1:2" x14ac:dyDescent="0.35">
      <c r="A85" s="5" t="s">
        <v>194</v>
      </c>
      <c r="B85" s="6">
        <v>-7.4129731233333338</v>
      </c>
    </row>
    <row r="86" spans="1:2" x14ac:dyDescent="0.35">
      <c r="A86" s="5" t="s">
        <v>88</v>
      </c>
      <c r="B86" s="6">
        <v>-6.5121533433333338</v>
      </c>
    </row>
    <row r="87" spans="1:2" x14ac:dyDescent="0.35">
      <c r="A87" s="5" t="s">
        <v>227</v>
      </c>
      <c r="B87" s="6">
        <v>-6.3656938300000006</v>
      </c>
    </row>
    <row r="88" spans="1:2" x14ac:dyDescent="0.35">
      <c r="A88" s="5" t="s">
        <v>420</v>
      </c>
      <c r="B88" s="6">
        <v>-0.74750351333333331</v>
      </c>
    </row>
    <row r="89" spans="1:2" x14ac:dyDescent="0.35">
      <c r="A89" s="5" t="s">
        <v>238</v>
      </c>
      <c r="B89" s="6">
        <v>-5.5180485633333332</v>
      </c>
    </row>
    <row r="90" spans="1:2" x14ac:dyDescent="0.35">
      <c r="A90" s="5" t="s">
        <v>342</v>
      </c>
      <c r="B90" s="6">
        <v>-8.9838431866666664</v>
      </c>
    </row>
    <row r="91" spans="1:2" x14ac:dyDescent="0.35">
      <c r="A91" s="5" t="s">
        <v>157</v>
      </c>
      <c r="B91" s="6">
        <v>-10.965945556666666</v>
      </c>
    </row>
    <row r="92" spans="1:2" x14ac:dyDescent="0.35">
      <c r="A92" s="5" t="s">
        <v>202</v>
      </c>
      <c r="B92" s="6">
        <v>-2.5801858033333329</v>
      </c>
    </row>
    <row r="93" spans="1:2" x14ac:dyDescent="0.35">
      <c r="A93" s="5" t="s">
        <v>215</v>
      </c>
      <c r="B93" s="6">
        <v>-3.6296764600000002</v>
      </c>
    </row>
    <row r="94" spans="1:2" x14ac:dyDescent="0.35">
      <c r="A94" s="5" t="s">
        <v>346</v>
      </c>
      <c r="B94" s="6">
        <v>-7.1342850333333336</v>
      </c>
    </row>
    <row r="95" spans="1:2" x14ac:dyDescent="0.35">
      <c r="A95" s="5" t="s">
        <v>119</v>
      </c>
      <c r="B95" s="6">
        <v>-2.8819136966666665</v>
      </c>
    </row>
    <row r="96" spans="1:2" x14ac:dyDescent="0.35">
      <c r="A96" s="5" t="s">
        <v>271</v>
      </c>
      <c r="B96" s="6">
        <v>7.1030010133333334</v>
      </c>
    </row>
    <row r="97" spans="1:2" x14ac:dyDescent="0.35">
      <c r="A97" s="5" t="s">
        <v>106</v>
      </c>
      <c r="B97" s="6">
        <v>-6.1310840066666659</v>
      </c>
    </row>
    <row r="98" spans="1:2" x14ac:dyDescent="0.35">
      <c r="A98" s="5" t="s">
        <v>159</v>
      </c>
      <c r="B98" s="6">
        <v>15.471995393333335</v>
      </c>
    </row>
    <row r="99" spans="1:2" x14ac:dyDescent="0.35">
      <c r="A99" s="5" t="s">
        <v>198</v>
      </c>
      <c r="B99" s="6">
        <v>-9.4016777000000005</v>
      </c>
    </row>
    <row r="100" spans="1:2" x14ac:dyDescent="0.35">
      <c r="A100" s="5" t="s">
        <v>196</v>
      </c>
      <c r="B100" s="6">
        <v>-3.9860571866666668</v>
      </c>
    </row>
    <row r="101" spans="1:2" x14ac:dyDescent="0.35">
      <c r="A101" s="5" t="s">
        <v>47</v>
      </c>
      <c r="B101" s="6">
        <v>-5.9290975966666677</v>
      </c>
    </row>
    <row r="102" spans="1:2" x14ac:dyDescent="0.35">
      <c r="A102" s="5" t="s">
        <v>344</v>
      </c>
      <c r="B102" s="6">
        <v>-5.8758380333333333</v>
      </c>
    </row>
    <row r="103" spans="1:2" x14ac:dyDescent="0.35">
      <c r="A103" s="5" t="s">
        <v>320</v>
      </c>
      <c r="B103" s="6">
        <v>3.2500158100000003</v>
      </c>
    </row>
    <row r="104" spans="1:2" x14ac:dyDescent="0.35">
      <c r="A104" s="5" t="s">
        <v>69</v>
      </c>
      <c r="B104" s="6">
        <v>-7.2437471699999989</v>
      </c>
    </row>
    <row r="105" spans="1:2" x14ac:dyDescent="0.35">
      <c r="A105" s="5" t="s">
        <v>200</v>
      </c>
      <c r="B105" s="6">
        <v>-5.8685320033333328</v>
      </c>
    </row>
    <row r="106" spans="1:2" x14ac:dyDescent="0.35">
      <c r="A106" s="5" t="s">
        <v>82</v>
      </c>
      <c r="B106" s="6">
        <v>-3.5641418433333332</v>
      </c>
    </row>
    <row r="107" spans="1:2" x14ac:dyDescent="0.35">
      <c r="A107" s="5" t="s">
        <v>366</v>
      </c>
      <c r="B107" s="6">
        <v>-5.7765528966666659</v>
      </c>
    </row>
    <row r="108" spans="1:2" x14ac:dyDescent="0.35">
      <c r="A108" s="5" t="s">
        <v>131</v>
      </c>
      <c r="B108" s="6">
        <v>-2.814894446666667</v>
      </c>
    </row>
    <row r="109" spans="1:2" x14ac:dyDescent="0.35">
      <c r="A109" s="5" t="s">
        <v>279</v>
      </c>
      <c r="B109" s="6">
        <v>2.482959053333333</v>
      </c>
    </row>
    <row r="110" spans="1:2" x14ac:dyDescent="0.35">
      <c r="A110" s="5" t="s">
        <v>31</v>
      </c>
      <c r="B110" s="6">
        <v>-3.4148730433333334</v>
      </c>
    </row>
    <row r="111" spans="1:2" x14ac:dyDescent="0.35">
      <c r="A111" s="5" t="s">
        <v>185</v>
      </c>
      <c r="B111" s="6">
        <v>-7.0424257333333342</v>
      </c>
    </row>
    <row r="112" spans="1:2" x14ac:dyDescent="0.35">
      <c r="A112" s="5" t="s">
        <v>338</v>
      </c>
      <c r="B112" s="6">
        <v>-4.1920449799999995</v>
      </c>
    </row>
    <row r="113" spans="1:2" x14ac:dyDescent="0.35">
      <c r="A113" s="5" t="s">
        <v>312</v>
      </c>
      <c r="B113" s="6">
        <v>-1.8925959166666668</v>
      </c>
    </row>
    <row r="114" spans="1:2" x14ac:dyDescent="0.35">
      <c r="A114" s="5" t="s">
        <v>102</v>
      </c>
      <c r="B114" s="6">
        <v>-11.488830729999998</v>
      </c>
    </row>
    <row r="115" spans="1:2" x14ac:dyDescent="0.35">
      <c r="A115" s="5" t="s">
        <v>86</v>
      </c>
      <c r="B115" s="6">
        <v>-8.7235433733333334</v>
      </c>
    </row>
    <row r="116" spans="1:2" x14ac:dyDescent="0.35">
      <c r="A116" s="5" t="s">
        <v>277</v>
      </c>
      <c r="B116" s="6">
        <v>-7.5814221366666672</v>
      </c>
    </row>
    <row r="117" spans="1:2" x14ac:dyDescent="0.35">
      <c r="A117" s="5" t="s">
        <v>161</v>
      </c>
      <c r="B117" s="6">
        <v>-2.5665472366666666</v>
      </c>
    </row>
    <row r="118" spans="1:2" x14ac:dyDescent="0.35">
      <c r="A118" s="5" t="s">
        <v>324</v>
      </c>
      <c r="B118" s="6">
        <v>-10.30591918</v>
      </c>
    </row>
    <row r="119" spans="1:2" x14ac:dyDescent="0.35">
      <c r="A119" s="5" t="s">
        <v>364</v>
      </c>
      <c r="B119" s="6">
        <v>-4.1730133866666668</v>
      </c>
    </row>
    <row r="120" spans="1:2" x14ac:dyDescent="0.35">
      <c r="A120" s="5" t="s">
        <v>127</v>
      </c>
      <c r="B120" s="6">
        <v>-10.415974390000001</v>
      </c>
    </row>
    <row r="121" spans="1:2" x14ac:dyDescent="0.35">
      <c r="A121" s="5" t="s">
        <v>81</v>
      </c>
      <c r="B121" s="6">
        <v>-7.2044979066666661</v>
      </c>
    </row>
    <row r="122" spans="1:2" x14ac:dyDescent="0.35">
      <c r="A122" s="5" t="s">
        <v>96</v>
      </c>
      <c r="B122" s="6">
        <v>-6.3319737099999998</v>
      </c>
    </row>
    <row r="123" spans="1:2" x14ac:dyDescent="0.35">
      <c r="A123" s="5" t="s">
        <v>275</v>
      </c>
      <c r="B123" s="6">
        <v>-4.2226842400000004</v>
      </c>
    </row>
    <row r="124" spans="1:2" x14ac:dyDescent="0.35">
      <c r="A124" s="5" t="s">
        <v>372</v>
      </c>
      <c r="B124" s="6">
        <v>-10.855129076666666</v>
      </c>
    </row>
    <row r="125" spans="1:2" x14ac:dyDescent="0.35">
      <c r="A125" s="5" t="s">
        <v>169</v>
      </c>
      <c r="B125" s="6">
        <v>-9.123712583333333</v>
      </c>
    </row>
    <row r="126" spans="1:2" x14ac:dyDescent="0.35">
      <c r="A126" s="5" t="s">
        <v>314</v>
      </c>
      <c r="B126" s="6">
        <v>-4.1854320833333327</v>
      </c>
    </row>
    <row r="127" spans="1:2" x14ac:dyDescent="0.35">
      <c r="A127" s="5" t="s">
        <v>163</v>
      </c>
      <c r="B127" s="6">
        <v>-8.4880240266666664</v>
      </c>
    </row>
    <row r="128" spans="1:2" x14ac:dyDescent="0.35">
      <c r="A128" s="5" t="s">
        <v>77</v>
      </c>
      <c r="B128" s="6">
        <v>0.73703823999999996</v>
      </c>
    </row>
    <row r="129" spans="1:2" x14ac:dyDescent="0.35">
      <c r="A129" s="5" t="s">
        <v>59</v>
      </c>
      <c r="B129" s="6">
        <v>-4.7381666666666674E-3</v>
      </c>
    </row>
    <row r="130" spans="1:2" x14ac:dyDescent="0.35">
      <c r="A130" s="5" t="s">
        <v>250</v>
      </c>
      <c r="B130" s="6">
        <v>-11.971824453333333</v>
      </c>
    </row>
    <row r="131" spans="1:2" x14ac:dyDescent="0.35">
      <c r="A131" s="5" t="s">
        <v>84</v>
      </c>
      <c r="B131" s="6">
        <v>-7.1494759733333337</v>
      </c>
    </row>
    <row r="132" spans="1:2" x14ac:dyDescent="0.35">
      <c r="A132" s="5" t="s">
        <v>100</v>
      </c>
      <c r="B132" s="6">
        <v>-7.050647576666667</v>
      </c>
    </row>
    <row r="133" spans="1:2" x14ac:dyDescent="0.35">
      <c r="A133" s="5" t="s">
        <v>257</v>
      </c>
      <c r="B133" s="6">
        <v>56.688879213333337</v>
      </c>
    </row>
    <row r="134" spans="1:2" x14ac:dyDescent="0.35">
      <c r="A134" s="5" t="s">
        <v>287</v>
      </c>
      <c r="B134" s="6">
        <v>-6.8277306366666677</v>
      </c>
    </row>
    <row r="135" spans="1:2" x14ac:dyDescent="0.35">
      <c r="A135" s="5" t="s">
        <v>65</v>
      </c>
      <c r="B135" s="6">
        <v>-7.2840773266666661</v>
      </c>
    </row>
    <row r="136" spans="1:2" x14ac:dyDescent="0.35">
      <c r="A136" s="5" t="s">
        <v>112</v>
      </c>
      <c r="B136" s="6">
        <v>-8.32675622</v>
      </c>
    </row>
    <row r="137" spans="1:2" x14ac:dyDescent="0.35">
      <c r="A137" s="5" t="s">
        <v>165</v>
      </c>
      <c r="B137" s="6">
        <v>-9.2819230866666658</v>
      </c>
    </row>
    <row r="138" spans="1:2" x14ac:dyDescent="0.35">
      <c r="A138" s="5" t="s">
        <v>125</v>
      </c>
      <c r="B138" s="6">
        <v>-9.2665150233333335</v>
      </c>
    </row>
    <row r="139" spans="1:2" x14ac:dyDescent="0.35">
      <c r="A139" s="5" t="s">
        <v>228</v>
      </c>
      <c r="B139" s="6">
        <v>-6.7273114566666665</v>
      </c>
    </row>
    <row r="140" spans="1:2" x14ac:dyDescent="0.35">
      <c r="A140" s="5" t="s">
        <v>374</v>
      </c>
      <c r="B140" s="6">
        <v>-6.933113043333333</v>
      </c>
    </row>
    <row r="141" spans="1:2" x14ac:dyDescent="0.35">
      <c r="A141" s="5" t="s">
        <v>137</v>
      </c>
      <c r="B141" s="6">
        <v>0.21203752333333337</v>
      </c>
    </row>
    <row r="142" spans="1:2" x14ac:dyDescent="0.35">
      <c r="A142" s="5" t="s">
        <v>269</v>
      </c>
      <c r="B142" s="6">
        <v>-7.8291720766666666</v>
      </c>
    </row>
    <row r="143" spans="1:2" x14ac:dyDescent="0.35">
      <c r="A143" s="5" t="s">
        <v>133</v>
      </c>
      <c r="B143" s="6">
        <v>-8.4369140900000001</v>
      </c>
    </row>
    <row r="144" spans="1:2" x14ac:dyDescent="0.35">
      <c r="A144" s="5" t="s">
        <v>360</v>
      </c>
      <c r="B144" s="6">
        <v>-9.4331150666666659</v>
      </c>
    </row>
    <row r="145" spans="1:2" x14ac:dyDescent="0.35">
      <c r="A145" s="5" t="s">
        <v>104</v>
      </c>
      <c r="B145" s="6">
        <v>3.9656379999999998E-2</v>
      </c>
    </row>
    <row r="146" spans="1:2" x14ac:dyDescent="0.35">
      <c r="A146" s="5" t="s">
        <v>143</v>
      </c>
      <c r="B146" s="6">
        <v>16.030770480000001</v>
      </c>
    </row>
    <row r="147" spans="1:2" x14ac:dyDescent="0.35">
      <c r="A147" s="5" t="s">
        <v>322</v>
      </c>
      <c r="B147" s="6">
        <v>-6.9665125466666673</v>
      </c>
    </row>
    <row r="148" spans="1:2" x14ac:dyDescent="0.35">
      <c r="A148" s="5" t="s">
        <v>418</v>
      </c>
      <c r="B148" s="6">
        <v>14.388214426666666</v>
      </c>
    </row>
    <row r="149" spans="1:2" x14ac:dyDescent="0.35">
      <c r="A149" s="5" t="s">
        <v>155</v>
      </c>
      <c r="B149" s="6">
        <v>-7.455446526666667</v>
      </c>
    </row>
    <row r="150" spans="1:2" x14ac:dyDescent="0.35">
      <c r="A150" s="5" t="s">
        <v>255</v>
      </c>
      <c r="B150" s="6">
        <v>-10.694768486666666</v>
      </c>
    </row>
    <row r="151" spans="1:2" x14ac:dyDescent="0.35">
      <c r="A151" s="5" t="s">
        <v>53</v>
      </c>
      <c r="B151" s="6">
        <v>-6.3143149233333338</v>
      </c>
    </row>
    <row r="152" spans="1:2" x14ac:dyDescent="0.35">
      <c r="A152" s="5" t="s">
        <v>98</v>
      </c>
      <c r="B152" s="6">
        <v>-2.2669702099999998</v>
      </c>
    </row>
    <row r="153" spans="1:2" x14ac:dyDescent="0.35">
      <c r="A153" s="5" t="s">
        <v>17</v>
      </c>
      <c r="B153" s="6">
        <v>-7.2098729866666673</v>
      </c>
    </row>
    <row r="154" spans="1:2" x14ac:dyDescent="0.35">
      <c r="A154" s="5" t="s">
        <v>316</v>
      </c>
      <c r="B154" s="6">
        <v>-9.5609204166666668</v>
      </c>
    </row>
    <row r="155" spans="1:2" x14ac:dyDescent="0.35">
      <c r="A155" s="5" t="s">
        <v>246</v>
      </c>
      <c r="B155" s="6">
        <v>-3.9546213800000003</v>
      </c>
    </row>
    <row r="156" spans="1:2" x14ac:dyDescent="0.35">
      <c r="A156" s="5" t="s">
        <v>187</v>
      </c>
      <c r="B156" s="6">
        <v>-9.2651738366666674</v>
      </c>
    </row>
    <row r="157" spans="1:2" x14ac:dyDescent="0.35">
      <c r="A157" s="5" t="s">
        <v>171</v>
      </c>
      <c r="B157" s="6">
        <v>-7.098596193333333</v>
      </c>
    </row>
    <row r="158" spans="1:2" x14ac:dyDescent="0.35">
      <c r="A158" s="5" t="s">
        <v>385</v>
      </c>
      <c r="B158" s="6">
        <v>14.857924876666667</v>
      </c>
    </row>
    <row r="159" spans="1:2" x14ac:dyDescent="0.35">
      <c r="A159" s="5" t="s">
        <v>234</v>
      </c>
      <c r="B159" s="6">
        <v>-8.8615975500000008</v>
      </c>
    </row>
    <row r="160" spans="1:2" x14ac:dyDescent="0.35">
      <c r="A160" s="5" t="s">
        <v>39</v>
      </c>
      <c r="B160" s="6">
        <v>-5.2466155100000007</v>
      </c>
    </row>
    <row r="161" spans="1:2" x14ac:dyDescent="0.35">
      <c r="A161" s="5" t="s">
        <v>153</v>
      </c>
      <c r="B161" s="6">
        <v>-7.8601970833333334</v>
      </c>
    </row>
    <row r="162" spans="1:2" x14ac:dyDescent="0.35">
      <c r="A162" s="5" t="s">
        <v>49</v>
      </c>
      <c r="B162" s="6">
        <v>-9.2638378966666668</v>
      </c>
    </row>
    <row r="163" spans="1:2" x14ac:dyDescent="0.35">
      <c r="A163" s="5" t="s">
        <v>210</v>
      </c>
      <c r="B163" s="6">
        <v>-4.1796473999999995</v>
      </c>
    </row>
    <row r="164" spans="1:2" x14ac:dyDescent="0.35">
      <c r="A164" s="5" t="s">
        <v>358</v>
      </c>
      <c r="B164" s="6">
        <v>-7.8407147666666672</v>
      </c>
    </row>
    <row r="165" spans="1:2" x14ac:dyDescent="0.35">
      <c r="A165" s="5" t="s">
        <v>242</v>
      </c>
      <c r="B165" s="6">
        <v>-5.2537859466666674</v>
      </c>
    </row>
    <row r="166" spans="1:2" x14ac:dyDescent="0.35">
      <c r="A166" s="5" t="s">
        <v>297</v>
      </c>
      <c r="B166" s="6">
        <v>-5.5634415266666659</v>
      </c>
    </row>
    <row r="167" spans="1:2" x14ac:dyDescent="0.35">
      <c r="A167" s="5" t="s">
        <v>71</v>
      </c>
      <c r="B167" s="6">
        <v>0.75470504333333333</v>
      </c>
    </row>
    <row r="168" spans="1:2" x14ac:dyDescent="0.35">
      <c r="A168" s="5" t="s">
        <v>12</v>
      </c>
      <c r="B168" s="6">
        <v>3.0639066666666662E-2</v>
      </c>
    </row>
    <row r="169" spans="1:2" x14ac:dyDescent="0.35">
      <c r="A169" s="5" t="s">
        <v>167</v>
      </c>
      <c r="B169" s="6">
        <v>-7.8133621233333335</v>
      </c>
    </row>
    <row r="170" spans="1:2" x14ac:dyDescent="0.35">
      <c r="A170" s="5" t="s">
        <v>217</v>
      </c>
      <c r="B170" s="6">
        <v>-6.0487282866666661</v>
      </c>
    </row>
    <row r="171" spans="1:2" x14ac:dyDescent="0.35">
      <c r="A171" s="5" t="s">
        <v>244</v>
      </c>
      <c r="B171" s="6">
        <v>-8.2214375866666671</v>
      </c>
    </row>
    <row r="172" spans="1:2" x14ac:dyDescent="0.35">
      <c r="A172" s="5" t="s">
        <v>379</v>
      </c>
      <c r="B172" s="6">
        <v>-3.9361138566666667</v>
      </c>
    </row>
    <row r="173" spans="1:2" x14ac:dyDescent="0.35">
      <c r="A173" s="5" t="s">
        <v>273</v>
      </c>
      <c r="B173" s="6">
        <v>-4.9551331200000002</v>
      </c>
    </row>
    <row r="174" spans="1:2" x14ac:dyDescent="0.35">
      <c r="A174" s="5" t="s">
        <v>308</v>
      </c>
      <c r="B174" s="6">
        <v>-6.5868054333333346</v>
      </c>
    </row>
    <row r="175" spans="1:2" x14ac:dyDescent="0.35">
      <c r="A175" s="5" t="s">
        <v>61</v>
      </c>
      <c r="B175" s="6">
        <v>-4.0568854933333336</v>
      </c>
    </row>
    <row r="176" spans="1:2" x14ac:dyDescent="0.35">
      <c r="A176" s="5" t="s">
        <v>19</v>
      </c>
      <c r="B176" s="6">
        <v>-1.8097452733333332</v>
      </c>
    </row>
    <row r="177" spans="1:2" x14ac:dyDescent="0.35">
      <c r="A177" s="5" t="s">
        <v>175</v>
      </c>
      <c r="B177" s="6">
        <v>5.2921780000000002E-2</v>
      </c>
    </row>
    <row r="178" spans="1:2" x14ac:dyDescent="0.35">
      <c r="A178" s="5" t="s">
        <v>219</v>
      </c>
      <c r="B178" s="6">
        <v>-15.837252873333334</v>
      </c>
    </row>
    <row r="179" spans="1:2" x14ac:dyDescent="0.35">
      <c r="A179" s="5" t="s">
        <v>67</v>
      </c>
      <c r="B179" s="6">
        <v>-6.8786802466666677</v>
      </c>
    </row>
    <row r="180" spans="1:2" x14ac:dyDescent="0.35">
      <c r="A180" s="5" t="s">
        <v>145</v>
      </c>
      <c r="B180" s="6">
        <v>6.6257536666666672E-2</v>
      </c>
    </row>
    <row r="181" spans="1:2" x14ac:dyDescent="0.35">
      <c r="A181" s="5" t="s">
        <v>29</v>
      </c>
      <c r="B181" s="6">
        <v>-3.0191875366666667</v>
      </c>
    </row>
    <row r="182" spans="1:2" x14ac:dyDescent="0.35">
      <c r="A182" s="5" t="s">
        <v>16</v>
      </c>
      <c r="B182" s="6">
        <v>-2.0757199999999983E-3</v>
      </c>
    </row>
    <row r="183" spans="1:2" x14ac:dyDescent="0.35">
      <c r="A183" s="5" t="s">
        <v>114</v>
      </c>
      <c r="B183" s="6">
        <v>-2.008163E-2</v>
      </c>
    </row>
    <row r="184" spans="1:2" x14ac:dyDescent="0.35">
      <c r="A184" s="5" t="s">
        <v>331</v>
      </c>
      <c r="B184" s="6">
        <v>-5.6523682099999997</v>
      </c>
    </row>
    <row r="185" spans="1:2" x14ac:dyDescent="0.35">
      <c r="A185" s="5" t="s">
        <v>141</v>
      </c>
      <c r="B185" s="6">
        <v>-5.6067797733333338</v>
      </c>
    </row>
    <row r="186" spans="1:2" x14ac:dyDescent="0.35">
      <c r="A186" s="5" t="s">
        <v>425</v>
      </c>
      <c r="B186" s="6">
        <v>-3.4236722633333336</v>
      </c>
    </row>
    <row r="187" spans="1:2" x14ac:dyDescent="0.35">
      <c r="A187" s="5" t="s">
        <v>177</v>
      </c>
      <c r="B187" s="6">
        <v>-7.6022256333333331</v>
      </c>
    </row>
    <row r="188" spans="1:2" x14ac:dyDescent="0.35">
      <c r="A188" s="5" t="s">
        <v>310</v>
      </c>
      <c r="B188" s="6">
        <v>-0.92329356333333334</v>
      </c>
    </row>
    <row r="189" spans="1:2" x14ac:dyDescent="0.35">
      <c r="A189" s="5" t="s">
        <v>326</v>
      </c>
      <c r="B189" s="6">
        <v>-8.4296241433333332</v>
      </c>
    </row>
    <row r="190" spans="1:2" x14ac:dyDescent="0.35">
      <c r="A190" s="5" t="s">
        <v>333</v>
      </c>
      <c r="B190" s="6">
        <v>-2.6116001866666667</v>
      </c>
    </row>
    <row r="191" spans="1:2" x14ac:dyDescent="0.35">
      <c r="A191" s="5" t="s">
        <v>57</v>
      </c>
      <c r="B191" s="6">
        <v>-11.329315953333333</v>
      </c>
    </row>
    <row r="192" spans="1:2" x14ac:dyDescent="0.35">
      <c r="A192" s="5" t="s">
        <v>45</v>
      </c>
      <c r="B192" s="6">
        <v>2.3552433333333335E-3</v>
      </c>
    </row>
    <row r="193" spans="1:2" x14ac:dyDescent="0.35">
      <c r="A193" s="5" t="s">
        <v>108</v>
      </c>
      <c r="B193" s="6">
        <v>-5.8111399199999996</v>
      </c>
    </row>
    <row r="194" spans="1:2" x14ac:dyDescent="0.35">
      <c r="A194" s="5" t="s">
        <v>354</v>
      </c>
      <c r="B194" s="6">
        <v>-9.4592172933333334</v>
      </c>
    </row>
    <row r="195" spans="1:2" x14ac:dyDescent="0.35">
      <c r="A195" s="5" t="s">
        <v>147</v>
      </c>
      <c r="B195" s="6">
        <v>-2.0995637066666668</v>
      </c>
    </row>
    <row r="196" spans="1:2" x14ac:dyDescent="0.35">
      <c r="A196" s="5" t="s">
        <v>15</v>
      </c>
      <c r="B196" s="6">
        <v>-6.2972714033333332</v>
      </c>
    </row>
    <row r="197" spans="1:2" x14ac:dyDescent="0.35">
      <c r="A197" s="5" t="s">
        <v>389</v>
      </c>
      <c r="B197" s="6">
        <v>-0.33412800333333337</v>
      </c>
    </row>
    <row r="198" spans="1:2" x14ac:dyDescent="0.35">
      <c r="A198" s="5" t="s">
        <v>421</v>
      </c>
      <c r="B198" s="6">
        <v>0.69439582</v>
      </c>
    </row>
    <row r="199" spans="1:2" x14ac:dyDescent="0.35">
      <c r="A199" s="5" t="s">
        <v>41</v>
      </c>
      <c r="B199" s="6">
        <v>-9.9452648866666653</v>
      </c>
    </row>
    <row r="200" spans="1:2" x14ac:dyDescent="0.35">
      <c r="A200" s="5" t="s">
        <v>259</v>
      </c>
      <c r="B200" s="6">
        <v>-4.9555802299999998</v>
      </c>
    </row>
    <row r="201" spans="1:2" x14ac:dyDescent="0.35">
      <c r="A201" s="5" t="s">
        <v>289</v>
      </c>
      <c r="B201" s="6">
        <v>-5.4681662366666659</v>
      </c>
    </row>
    <row r="202" spans="1:2" x14ac:dyDescent="0.35">
      <c r="A202" s="5" t="s">
        <v>378</v>
      </c>
      <c r="B202" s="6">
        <v>-9.2735453066666658</v>
      </c>
    </row>
    <row r="203" spans="1:2" x14ac:dyDescent="0.35">
      <c r="A203" s="5" t="s">
        <v>423</v>
      </c>
      <c r="B203" s="6">
        <v>-12.230988480000001</v>
      </c>
    </row>
    <row r="204" spans="1:2" x14ac:dyDescent="0.35">
      <c r="A204" s="5" t="s">
        <v>398</v>
      </c>
      <c r="B204" s="6">
        <v>-15.837252873333334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1:Z114"/>
  <sheetViews>
    <sheetView topLeftCell="A16" zoomScale="40" zoomScaleNormal="40" workbookViewId="0">
      <selection activeCell="AE64" sqref="AE64"/>
    </sheetView>
  </sheetViews>
  <sheetFormatPr defaultRowHeight="14.5" x14ac:dyDescent="0.35"/>
  <cols>
    <col min="7" max="7" width="13.81640625" customWidth="1"/>
    <col min="8" max="8" width="16.36328125" customWidth="1"/>
    <col min="15" max="15" width="16" customWidth="1"/>
    <col min="16" max="16" width="23.453125" customWidth="1"/>
    <col min="17" max="17" width="11.90625" customWidth="1"/>
    <col min="18" max="18" width="12.26953125" customWidth="1"/>
    <col min="19" max="19" width="15.7265625" customWidth="1"/>
    <col min="20" max="20" width="21.7265625" customWidth="1"/>
    <col min="21" max="21" width="16.90625" customWidth="1"/>
    <col min="22" max="22" width="18.26953125" customWidth="1"/>
    <col min="23" max="23" width="16.36328125" customWidth="1"/>
    <col min="24" max="24" width="16.81640625" customWidth="1"/>
    <col min="25" max="25" width="8.7265625" customWidth="1"/>
  </cols>
  <sheetData>
    <row r="1" spans="4:26" x14ac:dyDescent="0.35">
      <c r="D1" s="7"/>
      <c r="E1" s="7"/>
      <c r="F1" s="7"/>
      <c r="G1" s="7"/>
      <c r="H1" s="7"/>
      <c r="I1" s="7"/>
      <c r="J1" s="7"/>
      <c r="K1" s="7"/>
      <c r="L1" s="7"/>
      <c r="M1" s="7"/>
      <c r="N1" s="7"/>
      <c r="O1" s="7"/>
      <c r="P1" s="7"/>
      <c r="Q1" s="7"/>
      <c r="R1" s="7"/>
      <c r="S1" s="7"/>
      <c r="T1" s="7"/>
      <c r="U1" s="7"/>
      <c r="V1" s="7"/>
      <c r="W1" s="7"/>
      <c r="X1" s="7"/>
      <c r="Y1" s="7"/>
      <c r="Z1" s="7"/>
    </row>
    <row r="2" spans="4:26" x14ac:dyDescent="0.35">
      <c r="D2" s="7"/>
      <c r="E2" s="7"/>
      <c r="F2" s="7"/>
      <c r="G2" s="7"/>
      <c r="H2" s="7"/>
      <c r="I2" s="7"/>
      <c r="J2" s="7"/>
      <c r="K2" s="7"/>
      <c r="L2" s="7"/>
      <c r="M2" s="7"/>
      <c r="N2" s="7"/>
      <c r="O2" s="7"/>
      <c r="P2" s="7"/>
      <c r="Q2" s="7"/>
      <c r="R2" s="7"/>
      <c r="S2" s="7"/>
      <c r="T2" s="7"/>
      <c r="U2" s="7"/>
      <c r="V2" s="7"/>
      <c r="W2" s="7"/>
      <c r="X2" s="7"/>
      <c r="Y2" s="7"/>
      <c r="Z2" s="7"/>
    </row>
    <row r="3" spans="4:26" x14ac:dyDescent="0.35">
      <c r="D3" s="7"/>
      <c r="E3" s="7"/>
      <c r="F3" s="7"/>
      <c r="G3" s="7"/>
      <c r="H3" s="7"/>
      <c r="I3" s="7"/>
      <c r="J3" s="7"/>
      <c r="K3" s="7"/>
      <c r="L3" s="7"/>
      <c r="M3" s="7"/>
      <c r="N3" s="7"/>
      <c r="O3" s="7"/>
      <c r="P3" s="7"/>
      <c r="Q3" s="7"/>
      <c r="R3" s="7"/>
      <c r="S3" s="7"/>
      <c r="T3" s="7"/>
      <c r="U3" s="7"/>
      <c r="V3" s="7"/>
      <c r="W3" s="7"/>
      <c r="X3" s="7"/>
      <c r="Y3" s="7"/>
      <c r="Z3" s="7"/>
    </row>
    <row r="4" spans="4:26" x14ac:dyDescent="0.35">
      <c r="D4" s="7"/>
      <c r="E4" s="7"/>
      <c r="F4" s="7"/>
      <c r="G4" s="7"/>
      <c r="H4" s="7"/>
      <c r="I4" s="7"/>
      <c r="J4" s="7"/>
      <c r="K4" s="7"/>
      <c r="L4" s="7"/>
      <c r="M4" s="7"/>
      <c r="N4" s="7"/>
      <c r="O4" s="7"/>
      <c r="P4" s="7"/>
      <c r="Q4" s="7"/>
      <c r="R4" s="7"/>
      <c r="S4" s="7"/>
      <c r="T4" s="7"/>
      <c r="U4" s="7"/>
      <c r="V4" s="7"/>
      <c r="W4" s="7"/>
      <c r="X4" s="7"/>
      <c r="Y4" s="7"/>
      <c r="Z4" s="7"/>
    </row>
    <row r="5" spans="4:26" x14ac:dyDescent="0.35">
      <c r="D5" s="7"/>
      <c r="E5" s="7"/>
      <c r="F5" s="7"/>
      <c r="G5" s="7"/>
      <c r="H5" s="7"/>
      <c r="I5" s="7"/>
      <c r="J5" s="7"/>
      <c r="K5" s="7"/>
      <c r="L5" s="7"/>
      <c r="M5" s="7"/>
      <c r="N5" s="7"/>
      <c r="O5" s="7"/>
      <c r="P5" s="7"/>
      <c r="Q5" s="7"/>
      <c r="R5" s="7"/>
      <c r="S5" s="7"/>
      <c r="T5" s="7"/>
      <c r="U5" s="7"/>
      <c r="V5" s="7"/>
      <c r="W5" s="7"/>
      <c r="X5" s="7"/>
      <c r="Y5" s="7"/>
      <c r="Z5" s="7"/>
    </row>
    <row r="6" spans="4:26" x14ac:dyDescent="0.35">
      <c r="D6" s="7"/>
      <c r="E6" s="7"/>
      <c r="F6" s="7"/>
      <c r="G6" s="7"/>
      <c r="H6" s="7"/>
      <c r="I6" s="7"/>
      <c r="J6" s="7"/>
      <c r="K6" s="7"/>
      <c r="L6" s="7"/>
      <c r="M6" s="7"/>
      <c r="N6" s="7"/>
      <c r="O6" s="7"/>
      <c r="P6" s="7"/>
      <c r="Q6" s="7"/>
      <c r="R6" s="7"/>
      <c r="S6" s="7"/>
      <c r="T6" s="7"/>
      <c r="U6" s="7"/>
      <c r="V6" s="7"/>
      <c r="W6" s="7"/>
      <c r="X6" s="7"/>
      <c r="Y6" s="7"/>
      <c r="Z6" s="7"/>
    </row>
    <row r="7" spans="4:26" x14ac:dyDescent="0.35">
      <c r="D7" s="7"/>
      <c r="E7" s="7"/>
      <c r="F7" s="7"/>
      <c r="G7" s="7"/>
      <c r="H7" s="7"/>
      <c r="I7" s="7"/>
      <c r="J7" s="7"/>
      <c r="K7" s="7"/>
      <c r="L7" s="7"/>
      <c r="M7" s="7"/>
      <c r="N7" s="7"/>
      <c r="O7" s="7"/>
      <c r="P7" s="7"/>
      <c r="Q7" s="7"/>
      <c r="R7" s="7"/>
      <c r="S7" s="7"/>
      <c r="T7" s="7"/>
      <c r="U7" s="7"/>
      <c r="V7" s="7"/>
      <c r="W7" s="7"/>
      <c r="X7" s="7"/>
      <c r="Y7" s="7"/>
      <c r="Z7" s="7"/>
    </row>
    <row r="8" spans="4:26" x14ac:dyDescent="0.35">
      <c r="D8" s="7"/>
      <c r="E8" s="7"/>
      <c r="F8" s="7"/>
      <c r="G8" s="7"/>
      <c r="H8" s="7"/>
      <c r="I8" s="7"/>
      <c r="J8" s="7"/>
      <c r="K8" s="7"/>
      <c r="L8" s="7"/>
      <c r="M8" s="7"/>
      <c r="N8" s="7"/>
      <c r="O8" s="7"/>
      <c r="P8" s="7"/>
      <c r="Q8" s="7"/>
      <c r="R8" s="7"/>
      <c r="S8" s="7"/>
      <c r="T8" s="7"/>
      <c r="U8" s="7"/>
      <c r="V8" s="7"/>
      <c r="W8" s="7"/>
      <c r="X8" s="7"/>
      <c r="Y8" s="7"/>
      <c r="Z8" s="7"/>
    </row>
    <row r="9" spans="4:26" x14ac:dyDescent="0.35">
      <c r="D9" s="7"/>
      <c r="E9" s="7"/>
      <c r="F9" s="7"/>
      <c r="G9" s="7"/>
      <c r="H9" s="7"/>
      <c r="I9" s="7"/>
      <c r="J9" s="7"/>
      <c r="K9" s="7"/>
      <c r="L9" s="7"/>
      <c r="M9" s="7"/>
      <c r="N9" s="7"/>
      <c r="O9" s="7"/>
      <c r="P9" s="7"/>
      <c r="Q9" s="7"/>
      <c r="R9" s="7"/>
      <c r="S9" s="7"/>
      <c r="T9" s="7"/>
      <c r="U9" s="7"/>
      <c r="V9" s="7"/>
      <c r="W9" s="7"/>
      <c r="X9" s="7"/>
      <c r="Y9" s="7"/>
      <c r="Z9" s="7"/>
    </row>
    <row r="10" spans="4:26" x14ac:dyDescent="0.35">
      <c r="D10" s="7"/>
      <c r="E10" s="7"/>
      <c r="F10" s="7"/>
      <c r="G10" s="7"/>
      <c r="H10" s="7"/>
      <c r="I10" s="7"/>
      <c r="J10" s="7"/>
      <c r="K10" s="7"/>
      <c r="L10" s="7"/>
      <c r="M10" s="7"/>
      <c r="N10" s="7"/>
      <c r="O10" s="7"/>
      <c r="P10" s="7"/>
      <c r="Q10" s="7"/>
      <c r="R10" s="7"/>
      <c r="S10" s="7"/>
      <c r="T10" s="7"/>
      <c r="U10" s="7"/>
      <c r="V10" s="7"/>
      <c r="W10" s="7"/>
      <c r="X10" s="7"/>
      <c r="Y10" s="7"/>
      <c r="Z10" s="7"/>
    </row>
    <row r="11" spans="4:26" x14ac:dyDescent="0.35">
      <c r="D11" s="7"/>
      <c r="E11" s="7"/>
      <c r="F11" s="7"/>
      <c r="G11" s="7"/>
      <c r="H11" s="7"/>
      <c r="I11" s="7"/>
      <c r="J11" s="7"/>
      <c r="K11" s="7"/>
      <c r="L11" s="7"/>
      <c r="M11" s="7"/>
      <c r="N11" s="7"/>
      <c r="O11" s="7"/>
      <c r="P11" s="7"/>
      <c r="Q11" s="7"/>
      <c r="R11" s="7"/>
      <c r="S11" s="7"/>
      <c r="T11" s="7"/>
      <c r="U11" s="7"/>
      <c r="V11" s="7"/>
      <c r="W11" s="7"/>
      <c r="X11" s="7"/>
      <c r="Y11" s="7"/>
      <c r="Z11" s="7"/>
    </row>
    <row r="12" spans="4:26" x14ac:dyDescent="0.35">
      <c r="D12" s="7"/>
      <c r="E12" s="7"/>
      <c r="F12" s="7"/>
      <c r="G12" s="7"/>
      <c r="H12" s="7"/>
      <c r="I12" s="7"/>
      <c r="J12" s="7"/>
      <c r="K12" s="7"/>
      <c r="L12" s="7"/>
      <c r="M12" s="7"/>
      <c r="N12" s="7"/>
      <c r="O12" s="7"/>
      <c r="P12" s="7"/>
      <c r="Q12" s="7"/>
      <c r="R12" s="7"/>
      <c r="S12" s="7"/>
      <c r="T12" s="7"/>
      <c r="U12" s="7"/>
      <c r="V12" s="7"/>
      <c r="W12" s="7"/>
      <c r="X12" s="7"/>
      <c r="Y12" s="7"/>
      <c r="Z12" s="7"/>
    </row>
    <row r="13" spans="4:26" x14ac:dyDescent="0.35">
      <c r="D13" s="7"/>
      <c r="E13" s="7"/>
      <c r="F13" s="7"/>
      <c r="G13" s="7"/>
      <c r="H13" s="7"/>
      <c r="I13" s="7"/>
      <c r="J13" s="7"/>
      <c r="K13" s="7"/>
      <c r="L13" s="7"/>
      <c r="M13" s="7"/>
      <c r="N13" s="7"/>
      <c r="O13" s="18"/>
      <c r="P13" s="18"/>
      <c r="Q13" s="18"/>
      <c r="R13" s="10" t="s">
        <v>399</v>
      </c>
      <c r="S13" s="10" t="s">
        <v>409</v>
      </c>
      <c r="T13" s="15" t="s">
        <v>405</v>
      </c>
      <c r="U13" s="10" t="s">
        <v>410</v>
      </c>
      <c r="V13" s="18"/>
      <c r="W13" s="4" t="s">
        <v>399</v>
      </c>
      <c r="X13" t="s">
        <v>410</v>
      </c>
      <c r="Y13" s="7"/>
      <c r="Z13" s="7"/>
    </row>
    <row r="14" spans="4:26" x14ac:dyDescent="0.35">
      <c r="D14" s="7"/>
      <c r="E14" s="7"/>
      <c r="F14" s="7"/>
      <c r="G14" s="7"/>
      <c r="H14" s="7"/>
      <c r="I14" s="7"/>
      <c r="J14" s="7"/>
      <c r="K14" s="7"/>
      <c r="L14" s="7"/>
      <c r="M14" s="7"/>
      <c r="N14" s="7"/>
      <c r="O14" s="8"/>
      <c r="P14" s="8"/>
      <c r="Q14" s="17"/>
      <c r="R14" s="5" t="s">
        <v>307</v>
      </c>
      <c r="S14" s="13">
        <v>0.83090162498184206</v>
      </c>
      <c r="T14" s="13">
        <v>0.82664916411738176</v>
      </c>
      <c r="U14" s="6">
        <v>4.2524608644602946E-3</v>
      </c>
      <c r="V14" s="9"/>
      <c r="W14" s="5" t="s">
        <v>307</v>
      </c>
      <c r="X14" s="6">
        <v>4.2524608644602946E-3</v>
      </c>
      <c r="Y14" s="7"/>
      <c r="Z14" s="7"/>
    </row>
    <row r="15" spans="4:26" x14ac:dyDescent="0.35">
      <c r="D15" s="7"/>
      <c r="E15" s="7"/>
      <c r="F15" s="7"/>
      <c r="G15" s="7"/>
      <c r="H15" s="7"/>
      <c r="I15" s="7"/>
      <c r="J15" s="7"/>
      <c r="K15" s="7"/>
      <c r="L15" s="7"/>
      <c r="M15" s="7"/>
      <c r="N15" s="7"/>
      <c r="O15" s="8"/>
      <c r="P15" s="8"/>
      <c r="Q15" s="17"/>
      <c r="R15" s="5" t="s">
        <v>368</v>
      </c>
      <c r="S15" s="13">
        <v>0.15169948145184253</v>
      </c>
      <c r="T15" s="13">
        <v>0.1512500139181073</v>
      </c>
      <c r="U15" s="6">
        <v>4.4946753373523163E-4</v>
      </c>
      <c r="V15" s="9"/>
      <c r="W15" s="5" t="s">
        <v>369</v>
      </c>
      <c r="X15" s="6">
        <v>4.4946753373523163E-4</v>
      </c>
      <c r="Y15" s="7"/>
      <c r="Z15" s="7"/>
    </row>
    <row r="16" spans="4:26" x14ac:dyDescent="0.35">
      <c r="D16" s="7"/>
      <c r="E16" s="7"/>
      <c r="F16" s="7"/>
      <c r="G16" s="7"/>
      <c r="H16" s="7"/>
      <c r="I16" s="7"/>
      <c r="J16" s="7"/>
      <c r="K16" s="7"/>
      <c r="L16" s="7"/>
      <c r="M16" s="7"/>
      <c r="N16" s="7"/>
      <c r="O16" s="8"/>
      <c r="P16" s="8"/>
      <c r="Q16" s="17"/>
      <c r="R16" s="5" t="s">
        <v>291</v>
      </c>
      <c r="S16" s="13">
        <v>2.6212842733273813</v>
      </c>
      <c r="T16" s="13">
        <v>2.6126607720811292</v>
      </c>
      <c r="U16" s="6">
        <v>8.6235012462521077E-3</v>
      </c>
      <c r="V16" s="9"/>
      <c r="W16" s="5" t="s">
        <v>292</v>
      </c>
      <c r="X16" s="6">
        <v>8.6235012462521077E-3</v>
      </c>
      <c r="Y16" s="7"/>
      <c r="Z16" s="7"/>
    </row>
    <row r="17" spans="4:26" x14ac:dyDescent="0.35">
      <c r="D17" s="7"/>
      <c r="E17" s="7"/>
      <c r="F17" s="7"/>
      <c r="G17" s="7"/>
      <c r="H17" s="7"/>
      <c r="I17" s="7"/>
      <c r="J17" s="7"/>
      <c r="K17" s="7"/>
      <c r="L17" s="7"/>
      <c r="M17" s="7"/>
      <c r="N17" s="7"/>
      <c r="O17" s="8"/>
      <c r="P17" s="8"/>
      <c r="Q17" s="17"/>
      <c r="R17" s="5" t="s">
        <v>387</v>
      </c>
      <c r="S17" s="13">
        <v>0.29331756723759655</v>
      </c>
      <c r="T17" s="13">
        <v>0.29258468213703387</v>
      </c>
      <c r="U17" s="6">
        <v>7.3288510056268574E-4</v>
      </c>
      <c r="V17" s="9"/>
      <c r="W17" s="5" t="s">
        <v>388</v>
      </c>
      <c r="X17" s="6">
        <v>7.3288510056268574E-4</v>
      </c>
      <c r="Y17" s="7"/>
      <c r="Z17" s="7"/>
    </row>
    <row r="18" spans="4:26" x14ac:dyDescent="0.35">
      <c r="D18" s="7"/>
      <c r="E18" s="7"/>
      <c r="F18" s="7"/>
      <c r="G18" s="7"/>
      <c r="H18" s="7"/>
      <c r="I18" s="7"/>
      <c r="J18" s="7"/>
      <c r="K18" s="7"/>
      <c r="L18" s="7"/>
      <c r="M18" s="7"/>
      <c r="N18" s="7"/>
      <c r="O18" s="8"/>
      <c r="P18" s="8"/>
      <c r="Q18" s="17"/>
      <c r="R18" s="5" t="s">
        <v>362</v>
      </c>
      <c r="S18" s="13">
        <v>0.3882928950675168</v>
      </c>
      <c r="T18" s="13">
        <v>0.38760759046732896</v>
      </c>
      <c r="U18" s="6">
        <v>6.8530460018784156E-4</v>
      </c>
      <c r="V18" s="9"/>
      <c r="W18" s="5" t="s">
        <v>363</v>
      </c>
      <c r="X18" s="6">
        <v>6.8530460018784156E-4</v>
      </c>
      <c r="Y18" s="7"/>
      <c r="Z18" s="7"/>
    </row>
    <row r="19" spans="4:26" x14ac:dyDescent="0.35">
      <c r="D19" s="7"/>
      <c r="E19" s="7"/>
      <c r="F19" s="7"/>
      <c r="G19" s="7"/>
      <c r="H19" s="7"/>
      <c r="I19" s="7"/>
      <c r="J19" s="7"/>
      <c r="K19" s="7"/>
      <c r="L19" s="7"/>
      <c r="M19" s="7"/>
      <c r="N19" s="7"/>
      <c r="O19" s="8"/>
      <c r="P19" s="8"/>
      <c r="Q19" s="17"/>
      <c r="R19" s="5" t="s">
        <v>200</v>
      </c>
      <c r="S19" s="13">
        <v>0.33919794891766891</v>
      </c>
      <c r="T19" s="13">
        <v>0.33739684359133593</v>
      </c>
      <c r="U19" s="6">
        <v>1.8011053263329857E-3</v>
      </c>
      <c r="V19" s="9"/>
      <c r="W19" s="5" t="s">
        <v>101</v>
      </c>
      <c r="X19" s="6">
        <v>6.3961701053102948E-4</v>
      </c>
      <c r="Y19" s="7"/>
      <c r="Z19" s="7"/>
    </row>
    <row r="20" spans="4:26" x14ac:dyDescent="0.35">
      <c r="D20" s="7"/>
      <c r="E20" s="7"/>
      <c r="F20" s="7"/>
      <c r="G20" s="7"/>
      <c r="H20" s="7"/>
      <c r="I20" s="7"/>
      <c r="J20" s="7"/>
      <c r="K20" s="7"/>
      <c r="L20" s="7"/>
      <c r="M20" s="7"/>
      <c r="N20" s="7"/>
      <c r="O20" s="8"/>
      <c r="P20" s="8"/>
      <c r="Q20" s="17"/>
      <c r="R20" s="5" t="s">
        <v>100</v>
      </c>
      <c r="S20" s="13">
        <v>0.16428946276544718</v>
      </c>
      <c r="T20" s="13">
        <v>0.16364984575491615</v>
      </c>
      <c r="U20" s="6">
        <v>6.3961701053102948E-4</v>
      </c>
      <c r="V20" s="9"/>
      <c r="W20" s="5" t="s">
        <v>105</v>
      </c>
      <c r="X20" s="6">
        <v>1.0565301455671694E-3</v>
      </c>
      <c r="Y20" s="7"/>
      <c r="Z20" s="7"/>
    </row>
    <row r="21" spans="4:26" x14ac:dyDescent="0.35">
      <c r="D21" s="7"/>
      <c r="E21" s="7"/>
      <c r="F21" s="7"/>
      <c r="G21" s="7"/>
      <c r="H21" s="7"/>
      <c r="I21" s="7"/>
      <c r="J21" s="7"/>
      <c r="K21" s="7"/>
      <c r="L21" s="7"/>
      <c r="M21" s="7"/>
      <c r="N21" s="7"/>
      <c r="O21" s="8"/>
      <c r="P21" s="8"/>
      <c r="Q21" s="17"/>
      <c r="R21" s="5" t="s">
        <v>104</v>
      </c>
      <c r="S21" s="13">
        <v>0.99984869784091468</v>
      </c>
      <c r="T21" s="13">
        <v>0.99879216769534751</v>
      </c>
      <c r="U21" s="6">
        <v>1.0565301455671694E-3</v>
      </c>
      <c r="V21" s="9"/>
      <c r="W21" s="5" t="s">
        <v>201</v>
      </c>
      <c r="X21" s="6">
        <v>1.8011053263329857E-3</v>
      </c>
      <c r="Y21" s="7"/>
      <c r="Z21" s="7"/>
    </row>
    <row r="22" spans="4:26" x14ac:dyDescent="0.35">
      <c r="D22" s="7"/>
      <c r="E22" s="7"/>
      <c r="F22" s="7"/>
      <c r="G22" s="7"/>
      <c r="H22" s="7"/>
      <c r="I22" s="7"/>
      <c r="J22" s="7"/>
      <c r="K22" s="7"/>
      <c r="L22" s="7"/>
      <c r="M22" s="7"/>
      <c r="N22" s="7"/>
      <c r="O22" s="8"/>
      <c r="P22" s="8"/>
      <c r="Q22" s="17"/>
      <c r="R22" s="5" t="s">
        <v>175</v>
      </c>
      <c r="S22" s="13">
        <v>0.99773379909180548</v>
      </c>
      <c r="T22" s="13">
        <v>0.99728502781028616</v>
      </c>
      <c r="U22" s="6">
        <v>4.4877128151932233E-4</v>
      </c>
      <c r="V22" s="9"/>
      <c r="W22" s="5" t="s">
        <v>176</v>
      </c>
      <c r="X22" s="6">
        <v>4.4877128151932233E-4</v>
      </c>
      <c r="Y22" s="7"/>
      <c r="Z22" s="7"/>
    </row>
    <row r="23" spans="4:26" x14ac:dyDescent="0.35">
      <c r="D23" s="7"/>
      <c r="E23" s="7"/>
      <c r="F23" s="7"/>
      <c r="G23" s="7"/>
      <c r="H23" s="7"/>
      <c r="I23" s="7"/>
      <c r="J23" s="7"/>
      <c r="K23" s="7"/>
      <c r="L23" s="7"/>
      <c r="M23" s="7"/>
      <c r="N23" s="7"/>
      <c r="O23" s="8"/>
      <c r="P23" s="8"/>
      <c r="Q23" s="17"/>
      <c r="R23" s="5" t="s">
        <v>114</v>
      </c>
      <c r="S23" s="13">
        <v>0.99810411764851903</v>
      </c>
      <c r="T23" s="13">
        <v>0.99737019222044954</v>
      </c>
      <c r="U23" s="6">
        <v>7.339254280694929E-4</v>
      </c>
      <c r="V23" s="9"/>
      <c r="W23" s="5" t="s">
        <v>114</v>
      </c>
      <c r="X23" s="6">
        <v>7.339254280694929E-4</v>
      </c>
      <c r="Y23" s="7"/>
      <c r="Z23" s="7"/>
    </row>
    <row r="24" spans="4:26" x14ac:dyDescent="0.35">
      <c r="D24" s="7"/>
      <c r="E24" s="7"/>
      <c r="F24" s="7"/>
      <c r="G24" s="7"/>
      <c r="H24" s="7"/>
      <c r="I24" s="7"/>
      <c r="J24" s="7"/>
      <c r="K24" s="7"/>
      <c r="L24" s="7"/>
      <c r="M24" s="7"/>
      <c r="N24" s="7"/>
      <c r="O24" s="19"/>
      <c r="P24" s="19"/>
      <c r="Q24" s="20"/>
      <c r="R24" s="11" t="s">
        <v>398</v>
      </c>
      <c r="S24" s="14">
        <v>7.7846698683305346</v>
      </c>
      <c r="T24" s="14">
        <v>7.7652462997933167</v>
      </c>
      <c r="U24" s="12">
        <v>1.9423568537218161E-2</v>
      </c>
      <c r="V24" s="21"/>
      <c r="W24" s="5" t="s">
        <v>398</v>
      </c>
      <c r="X24" s="6">
        <v>1.9423568537218161E-2</v>
      </c>
      <c r="Y24" s="7"/>
      <c r="Z24" s="7"/>
    </row>
    <row r="25" spans="4:26" x14ac:dyDescent="0.35">
      <c r="D25" s="7"/>
      <c r="E25" s="7"/>
      <c r="F25" s="7"/>
      <c r="G25" s="7"/>
      <c r="H25" s="7"/>
      <c r="I25" s="7"/>
      <c r="J25" s="7"/>
      <c r="K25" s="7"/>
      <c r="L25" s="7"/>
      <c r="M25" s="7"/>
      <c r="N25" s="7"/>
      <c r="O25" s="7"/>
      <c r="P25" s="7"/>
      <c r="Q25" s="7"/>
      <c r="R25" s="7"/>
      <c r="S25" s="7"/>
      <c r="T25" s="7"/>
      <c r="U25" s="7"/>
      <c r="V25" s="7"/>
      <c r="W25" s="7"/>
      <c r="X25" s="7"/>
      <c r="Y25" s="7"/>
      <c r="Z25" s="7"/>
    </row>
    <row r="26" spans="4:26" x14ac:dyDescent="0.35">
      <c r="D26" s="7"/>
      <c r="E26" s="7"/>
      <c r="F26" s="7"/>
      <c r="G26" s="7"/>
      <c r="H26" s="7"/>
      <c r="I26" s="7"/>
      <c r="J26" s="7"/>
      <c r="K26" s="7"/>
      <c r="L26" s="7"/>
      <c r="M26" s="7"/>
      <c r="N26" s="7"/>
      <c r="O26" s="7"/>
      <c r="P26" s="7"/>
      <c r="Q26" s="7"/>
      <c r="R26" s="7"/>
      <c r="S26" s="7"/>
      <c r="T26" s="7"/>
      <c r="U26" s="7"/>
      <c r="V26" s="7"/>
      <c r="W26" s="7"/>
      <c r="X26" s="7"/>
      <c r="Y26" s="7"/>
      <c r="Z26" s="7"/>
    </row>
    <row r="27" spans="4:26" x14ac:dyDescent="0.35">
      <c r="D27" s="7"/>
      <c r="E27" s="7"/>
      <c r="F27" s="7"/>
      <c r="G27" s="7"/>
      <c r="H27" s="7"/>
      <c r="I27" s="7"/>
      <c r="J27" s="7"/>
      <c r="K27" s="7"/>
      <c r="L27" s="7"/>
      <c r="M27" s="7"/>
      <c r="N27" s="7"/>
      <c r="O27" s="7"/>
      <c r="P27" s="7"/>
      <c r="Q27" s="7"/>
      <c r="R27" s="7"/>
      <c r="S27" s="7"/>
      <c r="T27" s="7"/>
      <c r="U27" s="7"/>
      <c r="V27" s="7"/>
      <c r="W27" s="7"/>
      <c r="X27" s="7"/>
      <c r="Y27" s="7"/>
      <c r="Z27" s="7"/>
    </row>
    <row r="28" spans="4:26" x14ac:dyDescent="0.35">
      <c r="D28" s="7"/>
      <c r="E28" s="7"/>
      <c r="F28" s="7"/>
      <c r="G28" s="7"/>
      <c r="H28" s="7"/>
      <c r="I28" s="7"/>
      <c r="J28" s="7"/>
      <c r="K28" s="7"/>
      <c r="L28" s="7"/>
      <c r="M28" s="7"/>
      <c r="N28" s="7"/>
      <c r="O28" s="7"/>
      <c r="P28" s="7"/>
      <c r="Q28" s="7"/>
      <c r="R28" s="7"/>
      <c r="S28" s="7"/>
      <c r="T28" s="7"/>
      <c r="U28" s="7"/>
      <c r="V28" s="7"/>
      <c r="W28" s="7"/>
      <c r="X28" s="7"/>
      <c r="Y28" s="7"/>
      <c r="Z28" s="7"/>
    </row>
    <row r="29" spans="4:26" x14ac:dyDescent="0.35">
      <c r="D29" s="7"/>
      <c r="E29" s="7"/>
      <c r="F29" s="7"/>
      <c r="G29" s="7"/>
      <c r="H29" s="7"/>
      <c r="I29" s="7"/>
      <c r="J29" s="7"/>
      <c r="K29" s="7"/>
      <c r="L29" s="7"/>
      <c r="M29" s="7"/>
      <c r="N29" s="7"/>
      <c r="O29" s="7"/>
      <c r="P29" s="7"/>
      <c r="Q29" s="7"/>
      <c r="R29" s="7"/>
      <c r="S29" s="7"/>
      <c r="T29" s="7"/>
      <c r="U29" s="7"/>
      <c r="V29" s="7"/>
      <c r="W29" s="7"/>
      <c r="X29" s="7"/>
      <c r="Y29" s="7"/>
      <c r="Z29" s="7"/>
    </row>
    <row r="30" spans="4:26" x14ac:dyDescent="0.35">
      <c r="D30" s="7"/>
      <c r="E30" s="7"/>
      <c r="F30" s="4" t="s">
        <v>399</v>
      </c>
      <c r="G30" s="4" t="s">
        <v>431</v>
      </c>
      <c r="H30" t="s">
        <v>432</v>
      </c>
      <c r="I30" s="7"/>
      <c r="J30" s="7"/>
      <c r="K30" s="7"/>
      <c r="L30" s="7"/>
      <c r="M30" s="7"/>
      <c r="N30" s="7"/>
      <c r="O30" s="7"/>
      <c r="P30" s="7"/>
      <c r="Q30" s="7"/>
      <c r="R30" s="7"/>
      <c r="S30" s="7"/>
      <c r="T30" s="7"/>
      <c r="U30" s="7"/>
      <c r="V30" s="7"/>
      <c r="W30" s="7"/>
      <c r="X30" s="7"/>
      <c r="Y30" s="7"/>
      <c r="Z30" s="7"/>
    </row>
    <row r="31" spans="4:26" x14ac:dyDescent="0.35">
      <c r="D31" s="7"/>
      <c r="E31" s="7"/>
      <c r="F31" s="5" t="s">
        <v>8</v>
      </c>
      <c r="G31" s="6">
        <v>64208.558875300405</v>
      </c>
      <c r="H31" s="6">
        <v>76189.345619899206</v>
      </c>
      <c r="I31" s="7"/>
      <c r="J31" s="7"/>
      <c r="K31" s="7"/>
      <c r="L31" s="7"/>
      <c r="M31" s="7"/>
      <c r="N31" s="7"/>
      <c r="O31" s="7"/>
      <c r="P31" s="7"/>
      <c r="Q31" s="7"/>
      <c r="R31" s="7"/>
      <c r="S31" s="7"/>
      <c r="T31" s="7"/>
      <c r="U31" s="7"/>
      <c r="V31" s="7"/>
      <c r="W31" s="7"/>
      <c r="X31" s="7"/>
      <c r="Y31" s="7"/>
      <c r="Z31" s="7"/>
    </row>
    <row r="32" spans="4:26" x14ac:dyDescent="0.35">
      <c r="D32" s="7"/>
      <c r="E32" s="7"/>
      <c r="F32" s="5" t="s">
        <v>25</v>
      </c>
      <c r="G32" s="6">
        <v>492.38137295839084</v>
      </c>
      <c r="H32" s="6">
        <v>525.71461759344209</v>
      </c>
      <c r="I32" s="7"/>
      <c r="J32" s="7"/>
      <c r="K32" s="7"/>
      <c r="L32" s="7"/>
      <c r="M32" s="7"/>
      <c r="N32" s="7"/>
      <c r="O32" s="7"/>
      <c r="P32" s="7"/>
      <c r="Q32" s="7"/>
      <c r="R32" s="7"/>
      <c r="S32" s="7"/>
      <c r="T32" s="7"/>
      <c r="U32" s="7"/>
      <c r="V32" s="7"/>
      <c r="W32" s="7"/>
      <c r="X32" s="7"/>
      <c r="Y32" s="7"/>
      <c r="Z32" s="7"/>
    </row>
    <row r="33" spans="4:26" x14ac:dyDescent="0.35">
      <c r="D33" s="7"/>
      <c r="E33" s="7"/>
      <c r="F33" s="5" t="s">
        <v>75</v>
      </c>
      <c r="G33" s="6">
        <v>135.49554905085381</v>
      </c>
      <c r="H33" s="6">
        <v>192.80391209343153</v>
      </c>
      <c r="I33" s="7"/>
      <c r="J33" s="7"/>
      <c r="K33" s="7"/>
      <c r="L33" s="7"/>
      <c r="M33" s="7"/>
      <c r="N33" s="7"/>
      <c r="O33" s="7"/>
      <c r="P33" s="7"/>
      <c r="Q33" s="7"/>
      <c r="R33" s="7"/>
      <c r="S33" s="7"/>
      <c r="T33" s="7"/>
      <c r="U33" s="7"/>
      <c r="V33" s="7"/>
      <c r="W33" s="7"/>
      <c r="X33" s="7"/>
      <c r="Y33" s="7"/>
      <c r="Z33" s="7"/>
    </row>
    <row r="34" spans="4:26" x14ac:dyDescent="0.35">
      <c r="D34" s="7"/>
      <c r="E34" s="7"/>
      <c r="F34" s="5" t="s">
        <v>14</v>
      </c>
      <c r="G34" s="6">
        <v>553.35161118747226</v>
      </c>
      <c r="H34" s="6">
        <v>755.00964110786833</v>
      </c>
      <c r="I34" s="7"/>
      <c r="J34" s="7"/>
      <c r="K34" s="7"/>
      <c r="L34" s="7"/>
      <c r="M34" s="7"/>
      <c r="N34" s="7"/>
      <c r="O34" s="7"/>
      <c r="P34" s="7"/>
      <c r="Q34" s="7"/>
      <c r="R34" s="7"/>
      <c r="S34" s="7"/>
      <c r="T34" s="7"/>
      <c r="U34" s="7"/>
      <c r="V34" s="7"/>
      <c r="W34" s="7"/>
      <c r="X34" s="7"/>
      <c r="Y34" s="7"/>
      <c r="Z34" s="7"/>
    </row>
    <row r="35" spans="4:26" x14ac:dyDescent="0.35">
      <c r="D35" s="7"/>
      <c r="E35" s="7"/>
      <c r="F35" s="5" t="s">
        <v>10</v>
      </c>
      <c r="G35" s="6">
        <v>1864.3822156385158</v>
      </c>
      <c r="H35" s="6">
        <v>2258.0888565676223</v>
      </c>
      <c r="I35" s="7"/>
      <c r="J35" s="7"/>
      <c r="K35" s="7"/>
      <c r="L35" s="7"/>
      <c r="M35" s="7"/>
      <c r="N35" s="7"/>
      <c r="O35" s="7"/>
      <c r="P35" s="7"/>
      <c r="Q35" s="7"/>
      <c r="R35" s="7"/>
      <c r="S35" s="7"/>
      <c r="T35" s="7"/>
      <c r="U35" s="7"/>
      <c r="V35" s="7"/>
      <c r="W35" s="7"/>
      <c r="X35" s="7"/>
      <c r="Y35" s="7"/>
      <c r="Z35" s="7"/>
    </row>
    <row r="36" spans="4:26" x14ac:dyDescent="0.35">
      <c r="D36" s="7"/>
      <c r="E36" s="7"/>
      <c r="F36" s="5" t="s">
        <v>31</v>
      </c>
      <c r="G36" s="6">
        <v>352.79228877811454</v>
      </c>
      <c r="H36" s="6">
        <v>391.54001656420093</v>
      </c>
      <c r="I36" s="7"/>
      <c r="J36" s="7"/>
      <c r="K36" s="7"/>
      <c r="L36" s="7"/>
      <c r="M36" s="7"/>
      <c r="N36" s="7"/>
      <c r="O36" s="7"/>
      <c r="P36" s="7"/>
      <c r="Q36" s="7"/>
      <c r="R36" s="7"/>
      <c r="S36" s="7"/>
      <c r="T36" s="7"/>
      <c r="U36" s="7"/>
      <c r="V36" s="7"/>
      <c r="W36" s="7"/>
      <c r="X36" s="7"/>
      <c r="Y36" s="7"/>
      <c r="Z36" s="7"/>
    </row>
    <row r="37" spans="4:26" x14ac:dyDescent="0.35">
      <c r="D37" s="7"/>
      <c r="E37" s="7"/>
      <c r="F37" s="5" t="s">
        <v>77</v>
      </c>
      <c r="G37" s="6">
        <v>5147.0162574468268</v>
      </c>
      <c r="H37" s="6">
        <v>5066.8659814766606</v>
      </c>
      <c r="I37" s="7"/>
      <c r="J37" s="7"/>
      <c r="K37" s="7"/>
      <c r="L37" s="7"/>
      <c r="M37" s="7"/>
      <c r="N37" s="7"/>
      <c r="O37" s="7"/>
      <c r="P37" s="7"/>
      <c r="Q37" s="7"/>
      <c r="R37" s="7"/>
      <c r="S37" s="7"/>
      <c r="T37" s="7"/>
      <c r="U37" s="7"/>
      <c r="V37" s="7"/>
      <c r="W37" s="7"/>
      <c r="X37" s="7"/>
      <c r="Y37" s="7"/>
      <c r="Z37" s="7"/>
    </row>
    <row r="38" spans="4:26" x14ac:dyDescent="0.35">
      <c r="D38" s="7"/>
      <c r="E38" s="7"/>
      <c r="F38" s="5" t="s">
        <v>71</v>
      </c>
      <c r="G38" s="6">
        <v>5116.1191399314794</v>
      </c>
      <c r="H38" s="6">
        <v>5034.9340301460525</v>
      </c>
      <c r="I38" s="7"/>
      <c r="J38" s="7"/>
      <c r="K38" s="7"/>
      <c r="L38" s="7"/>
      <c r="M38" s="7"/>
      <c r="N38" s="7"/>
      <c r="O38" s="7"/>
      <c r="P38" s="7"/>
      <c r="Q38" s="7"/>
      <c r="R38" s="7"/>
      <c r="S38" s="7"/>
      <c r="T38" s="7"/>
      <c r="U38" s="7"/>
      <c r="V38" s="7"/>
      <c r="W38" s="7"/>
      <c r="X38" s="7"/>
      <c r="Y38" s="7"/>
      <c r="Z38" s="7"/>
    </row>
    <row r="39" spans="4:26" x14ac:dyDescent="0.35">
      <c r="D39" s="7"/>
      <c r="E39" s="7"/>
      <c r="F39" s="5" t="s">
        <v>389</v>
      </c>
      <c r="G39" s="6">
        <v>2869.695928071777</v>
      </c>
      <c r="H39" s="6">
        <v>2886.8675793992193</v>
      </c>
      <c r="I39" s="7"/>
      <c r="J39" s="7"/>
      <c r="K39" s="7"/>
      <c r="L39" s="7"/>
      <c r="M39" s="7"/>
      <c r="N39" s="7"/>
      <c r="O39" s="7"/>
      <c r="P39" s="7"/>
      <c r="Q39" s="7"/>
      <c r="R39" s="7"/>
      <c r="S39" s="7"/>
      <c r="T39" s="7"/>
      <c r="U39" s="7"/>
      <c r="V39" s="7"/>
      <c r="W39" s="7"/>
      <c r="X39" s="7"/>
      <c r="Y39" s="7"/>
      <c r="Z39" s="7"/>
    </row>
    <row r="40" spans="4:26" x14ac:dyDescent="0.35">
      <c r="D40" s="7"/>
      <c r="E40" s="7"/>
      <c r="F40" s="5" t="s">
        <v>41</v>
      </c>
      <c r="G40" s="6">
        <v>207.43881532511736</v>
      </c>
      <c r="H40" s="6">
        <v>279.59360659599253</v>
      </c>
      <c r="I40" s="7"/>
      <c r="J40" s="7"/>
      <c r="K40" s="7"/>
      <c r="L40" s="7"/>
      <c r="M40" s="7"/>
      <c r="N40" s="7"/>
      <c r="O40" s="7"/>
      <c r="P40" s="7"/>
      <c r="Q40" s="7"/>
      <c r="R40" s="7"/>
      <c r="S40" s="7"/>
      <c r="T40" s="7"/>
      <c r="U40" s="7"/>
      <c r="V40" s="7"/>
      <c r="W40" s="7"/>
      <c r="X40" s="7"/>
      <c r="Y40" s="7"/>
      <c r="Z40" s="7"/>
    </row>
    <row r="41" spans="4:26" x14ac:dyDescent="0.35">
      <c r="D41" s="7"/>
      <c r="E41" s="7"/>
      <c r="F41" s="5" t="s">
        <v>398</v>
      </c>
      <c r="G41" s="6">
        <v>80947.23205368896</v>
      </c>
      <c r="H41" s="6">
        <v>93580.763861443702</v>
      </c>
      <c r="I41" s="7"/>
      <c r="J41" s="7"/>
      <c r="K41" s="7"/>
      <c r="L41" s="7"/>
      <c r="M41" s="7"/>
      <c r="N41" s="7"/>
      <c r="O41" s="7"/>
      <c r="P41" s="7"/>
      <c r="Q41" s="7"/>
      <c r="R41" s="7"/>
      <c r="S41" s="7"/>
      <c r="T41" s="7"/>
      <c r="U41" s="7"/>
      <c r="V41" s="7"/>
      <c r="W41" s="7"/>
      <c r="X41" s="7"/>
      <c r="Y41" s="7"/>
      <c r="Z41" s="7"/>
    </row>
    <row r="42" spans="4:26" x14ac:dyDescent="0.35">
      <c r="D42" s="7"/>
      <c r="E42" s="7"/>
      <c r="F42" s="7"/>
      <c r="G42" s="7"/>
      <c r="H42" s="7"/>
      <c r="I42" s="7"/>
      <c r="J42" s="7"/>
      <c r="K42" s="7"/>
      <c r="L42" s="7"/>
      <c r="M42" s="7"/>
      <c r="N42" s="7"/>
      <c r="O42" s="7"/>
      <c r="P42" s="7"/>
      <c r="Q42" s="7"/>
      <c r="R42" s="7"/>
      <c r="S42" s="7"/>
      <c r="T42" s="7"/>
      <c r="U42" s="7"/>
      <c r="V42" s="7"/>
      <c r="W42" s="7"/>
      <c r="X42" s="7"/>
      <c r="Y42" s="7"/>
      <c r="Z42" s="7"/>
    </row>
    <row r="43" spans="4:26" x14ac:dyDescent="0.35">
      <c r="D43" s="7"/>
      <c r="E43" s="7"/>
      <c r="F43" s="7"/>
      <c r="G43" s="7"/>
      <c r="H43" s="7"/>
      <c r="I43" s="7"/>
      <c r="J43" s="7"/>
      <c r="K43" s="7"/>
      <c r="L43" s="7"/>
      <c r="M43" s="7"/>
      <c r="N43" s="7"/>
      <c r="O43" s="7"/>
      <c r="P43" s="7"/>
      <c r="Q43" s="7"/>
      <c r="R43" s="7"/>
      <c r="S43" s="7"/>
      <c r="T43" s="7"/>
      <c r="U43" s="7"/>
      <c r="V43" s="7"/>
      <c r="W43" s="7"/>
      <c r="X43" s="7"/>
      <c r="Y43" s="7"/>
      <c r="Z43" s="7"/>
    </row>
    <row r="44" spans="4:26" x14ac:dyDescent="0.35">
      <c r="D44" s="7"/>
      <c r="E44" s="7"/>
      <c r="F44" s="7"/>
      <c r="G44" s="7"/>
      <c r="H44" s="7"/>
      <c r="I44" s="7"/>
      <c r="J44" s="7"/>
      <c r="K44" s="7"/>
      <c r="L44" s="7"/>
      <c r="M44" s="7"/>
      <c r="N44" s="7"/>
      <c r="O44" s="7"/>
      <c r="P44" s="7"/>
      <c r="Q44" s="7"/>
      <c r="R44" s="7"/>
      <c r="S44" s="7"/>
      <c r="T44" s="7"/>
      <c r="U44" s="7"/>
      <c r="V44" s="7"/>
      <c r="W44" s="7"/>
      <c r="X44" s="7"/>
      <c r="Y44" s="7"/>
      <c r="Z44" s="7"/>
    </row>
    <row r="45" spans="4:26" x14ac:dyDescent="0.35">
      <c r="D45" s="7"/>
      <c r="E45" s="7"/>
      <c r="F45" s="7"/>
      <c r="G45" s="7"/>
      <c r="H45" s="7"/>
      <c r="I45" s="7"/>
      <c r="J45" s="7"/>
      <c r="K45" s="7"/>
      <c r="L45" s="7"/>
      <c r="M45" s="7"/>
      <c r="N45" s="7"/>
      <c r="O45" s="7"/>
      <c r="P45" s="7"/>
      <c r="Q45" s="7"/>
      <c r="R45" s="7"/>
      <c r="S45" s="7"/>
      <c r="T45" s="7"/>
      <c r="U45" s="7"/>
      <c r="V45" s="7"/>
      <c r="W45" s="7"/>
      <c r="X45" s="7"/>
      <c r="Y45" s="7"/>
      <c r="Z45" s="7"/>
    </row>
    <row r="46" spans="4:26" x14ac:dyDescent="0.35">
      <c r="D46" s="7"/>
      <c r="E46" s="7"/>
      <c r="F46" s="7"/>
      <c r="G46" s="7"/>
      <c r="H46" s="7"/>
      <c r="I46" s="7"/>
      <c r="J46" s="7"/>
      <c r="K46" s="7"/>
      <c r="L46" s="7"/>
      <c r="M46" s="7"/>
      <c r="N46" s="7"/>
      <c r="O46" s="7"/>
      <c r="P46" s="7"/>
      <c r="Q46" s="7"/>
      <c r="R46" s="7"/>
      <c r="S46" s="7"/>
      <c r="T46" s="7"/>
      <c r="U46" s="7"/>
      <c r="V46" s="7"/>
      <c r="W46" s="7"/>
      <c r="X46" s="7"/>
      <c r="Y46" s="7"/>
      <c r="Z46" s="7"/>
    </row>
    <row r="47" spans="4:26" x14ac:dyDescent="0.35">
      <c r="D47" s="7"/>
      <c r="E47" s="7"/>
      <c r="F47" s="7"/>
      <c r="G47" s="7"/>
      <c r="H47" s="7"/>
      <c r="I47" s="7"/>
      <c r="J47" s="7"/>
      <c r="K47" s="7"/>
      <c r="L47" s="7"/>
      <c r="M47" s="7"/>
      <c r="N47" s="7"/>
      <c r="O47" s="7"/>
      <c r="P47" s="7"/>
      <c r="Q47" s="7"/>
      <c r="R47" s="7"/>
      <c r="S47" s="7"/>
      <c r="T47" s="7"/>
      <c r="U47" s="7"/>
      <c r="V47" s="7"/>
      <c r="W47" s="7"/>
      <c r="X47" s="7"/>
      <c r="Y47" s="7"/>
      <c r="Z47" s="7"/>
    </row>
    <row r="48" spans="4:26" x14ac:dyDescent="0.35">
      <c r="D48" s="7"/>
      <c r="E48" s="7"/>
      <c r="F48" s="7"/>
      <c r="G48" s="7"/>
      <c r="H48" s="7"/>
      <c r="I48" s="7"/>
      <c r="J48" s="7"/>
      <c r="K48" s="7"/>
      <c r="L48" s="7"/>
      <c r="M48" s="7"/>
      <c r="N48" s="7"/>
      <c r="O48" s="7"/>
      <c r="P48" s="7"/>
      <c r="Q48" s="7"/>
      <c r="R48" s="7"/>
      <c r="S48" s="7"/>
      <c r="T48" s="7"/>
      <c r="U48" s="7"/>
      <c r="V48" s="7"/>
      <c r="W48" s="7"/>
      <c r="X48" s="7"/>
      <c r="Y48" s="7"/>
      <c r="Z48" s="7"/>
    </row>
    <row r="49" spans="4:26" x14ac:dyDescent="0.35">
      <c r="D49" s="7"/>
      <c r="E49" s="7"/>
      <c r="F49" s="7"/>
      <c r="G49" s="7"/>
      <c r="H49" s="7"/>
      <c r="I49" s="7"/>
      <c r="J49" s="7"/>
      <c r="K49" s="7"/>
      <c r="L49" s="7"/>
      <c r="M49" s="7"/>
      <c r="N49" s="7"/>
      <c r="O49" s="7"/>
      <c r="P49" s="7"/>
      <c r="Q49" s="7"/>
      <c r="R49" s="7"/>
      <c r="S49" s="7"/>
      <c r="T49" s="7"/>
      <c r="U49" s="7"/>
      <c r="V49" s="7"/>
      <c r="W49" s="7"/>
      <c r="X49" s="7"/>
      <c r="Y49" s="7"/>
      <c r="Z49" s="7"/>
    </row>
    <row r="50" spans="4:26" x14ac:dyDescent="0.35">
      <c r="D50" s="7"/>
      <c r="E50" s="7"/>
      <c r="F50" s="7"/>
      <c r="G50" s="7"/>
      <c r="H50" s="7"/>
      <c r="I50" s="7"/>
      <c r="J50" s="7"/>
      <c r="K50" s="7"/>
      <c r="L50" s="7"/>
      <c r="M50" s="7"/>
      <c r="N50" s="7"/>
      <c r="O50" s="7"/>
      <c r="P50" s="7"/>
      <c r="Q50" s="7"/>
      <c r="R50" s="7"/>
      <c r="S50" s="7"/>
      <c r="T50" s="7"/>
      <c r="U50" s="7"/>
      <c r="V50" s="7"/>
      <c r="W50" s="7"/>
      <c r="X50" s="7"/>
      <c r="Y50" s="7"/>
      <c r="Z50" s="7"/>
    </row>
    <row r="51" spans="4:26" x14ac:dyDescent="0.35">
      <c r="D51" s="7"/>
      <c r="E51" s="7"/>
      <c r="F51" s="7"/>
      <c r="G51" s="7"/>
      <c r="H51" s="7"/>
      <c r="I51" s="7"/>
      <c r="J51" s="7"/>
      <c r="K51" s="7"/>
      <c r="L51" s="7"/>
      <c r="M51" s="7"/>
      <c r="N51" s="7"/>
      <c r="O51" s="7"/>
      <c r="P51" s="7"/>
      <c r="Q51" s="7"/>
      <c r="R51" s="7"/>
      <c r="S51" s="7"/>
      <c r="T51" s="18"/>
      <c r="U51" s="18"/>
      <c r="V51" s="7"/>
      <c r="W51" s="7"/>
      <c r="X51" s="7"/>
      <c r="Y51" s="7"/>
      <c r="Z51" s="7"/>
    </row>
    <row r="52" spans="4:26" x14ac:dyDescent="0.35">
      <c r="D52" s="7"/>
      <c r="E52" s="7"/>
      <c r="F52" s="7"/>
      <c r="G52" s="7"/>
      <c r="H52" s="7"/>
      <c r="I52" s="7"/>
      <c r="J52" s="7"/>
      <c r="K52" s="7"/>
      <c r="L52" s="7"/>
      <c r="M52" s="7"/>
      <c r="N52" s="7"/>
      <c r="O52" s="7"/>
      <c r="P52" s="7"/>
      <c r="Q52" s="7"/>
      <c r="R52" s="7"/>
      <c r="S52" s="10" t="s">
        <v>400</v>
      </c>
      <c r="T52" s="10" t="s">
        <v>434</v>
      </c>
      <c r="U52" s="9"/>
      <c r="V52" s="7"/>
      <c r="W52" s="7"/>
      <c r="X52" s="7"/>
      <c r="Y52" s="7"/>
      <c r="Z52" s="7"/>
    </row>
    <row r="53" spans="4:26" x14ac:dyDescent="0.35">
      <c r="D53" s="7"/>
      <c r="E53" s="7"/>
      <c r="F53" s="7"/>
      <c r="G53" s="7"/>
      <c r="H53" s="7"/>
      <c r="I53" s="7"/>
      <c r="J53" s="7"/>
      <c r="K53" s="7"/>
      <c r="L53" s="7"/>
      <c r="M53" s="7"/>
      <c r="N53" s="7"/>
      <c r="O53" s="7"/>
      <c r="P53" s="7"/>
      <c r="Q53" s="7"/>
      <c r="R53" s="7"/>
      <c r="S53" s="5" t="s">
        <v>8</v>
      </c>
      <c r="T53" s="6">
        <v>79431371927.590775</v>
      </c>
      <c r="U53" s="9"/>
      <c r="V53" s="7"/>
      <c r="W53" s="7"/>
      <c r="X53" s="7"/>
      <c r="Y53" s="7"/>
      <c r="Z53" s="7"/>
    </row>
    <row r="54" spans="4:26" x14ac:dyDescent="0.35">
      <c r="D54" s="7"/>
      <c r="E54" s="7"/>
      <c r="F54" s="7"/>
      <c r="G54" s="7"/>
      <c r="H54" s="7"/>
      <c r="I54" s="7"/>
      <c r="J54" s="7"/>
      <c r="K54" s="7"/>
      <c r="L54" s="7"/>
      <c r="M54" s="7"/>
      <c r="N54" s="7"/>
      <c r="O54" s="7"/>
      <c r="P54" s="7"/>
      <c r="Q54" s="7"/>
      <c r="R54" s="7"/>
      <c r="S54" s="5" t="s">
        <v>14</v>
      </c>
      <c r="T54" s="6">
        <v>4383074905.1874456</v>
      </c>
      <c r="U54" s="9"/>
      <c r="V54" s="7"/>
      <c r="W54" s="7"/>
      <c r="X54" s="7"/>
      <c r="Y54" s="7"/>
      <c r="Z54" s="7"/>
    </row>
    <row r="55" spans="4:26" x14ac:dyDescent="0.35">
      <c r="D55" s="7"/>
      <c r="E55" s="7"/>
      <c r="F55" s="7"/>
      <c r="G55" s="7"/>
      <c r="H55" s="7"/>
      <c r="I55" s="7"/>
      <c r="J55" s="7"/>
      <c r="K55" s="7"/>
      <c r="L55" s="7"/>
      <c r="M55" s="7"/>
      <c r="N55" s="7"/>
      <c r="O55" s="7"/>
      <c r="P55" s="7"/>
      <c r="Q55" s="7"/>
      <c r="R55" s="7"/>
      <c r="S55" s="5" t="s">
        <v>10</v>
      </c>
      <c r="T55" s="6">
        <v>44450877161.72728</v>
      </c>
      <c r="U55" s="9"/>
      <c r="V55" s="7"/>
      <c r="W55" s="7"/>
      <c r="X55" s="7"/>
      <c r="Y55" s="7"/>
      <c r="Z55" s="7"/>
    </row>
    <row r="56" spans="4:26" x14ac:dyDescent="0.35">
      <c r="D56" s="7"/>
      <c r="E56" s="7"/>
      <c r="F56" s="7"/>
      <c r="G56" s="7"/>
      <c r="H56" s="7"/>
      <c r="I56" s="7"/>
      <c r="J56" s="7"/>
      <c r="K56" s="7"/>
      <c r="L56" s="7"/>
      <c r="M56" s="7"/>
      <c r="N56" s="7"/>
      <c r="O56" s="7"/>
      <c r="P56" s="7"/>
      <c r="Q56" s="7"/>
      <c r="R56" s="7"/>
      <c r="S56" s="5" t="s">
        <v>436</v>
      </c>
      <c r="T56" s="6">
        <v>64693210379.999115</v>
      </c>
      <c r="U56" s="9"/>
      <c r="V56" s="7"/>
      <c r="W56" s="7"/>
      <c r="X56" s="7"/>
      <c r="Y56" s="7"/>
      <c r="Z56" s="7"/>
    </row>
    <row r="57" spans="4:26" x14ac:dyDescent="0.35">
      <c r="D57" s="7"/>
      <c r="E57" s="7"/>
      <c r="F57" s="7"/>
      <c r="G57" s="7"/>
      <c r="H57" s="7"/>
      <c r="I57" s="7"/>
      <c r="J57" s="7"/>
      <c r="K57" s="7"/>
      <c r="L57" s="7"/>
      <c r="M57" s="7"/>
      <c r="N57" s="7"/>
      <c r="O57" s="7"/>
      <c r="P57" s="7"/>
      <c r="Q57" s="7"/>
      <c r="R57" s="7"/>
      <c r="S57" s="5" t="s">
        <v>12</v>
      </c>
      <c r="T57" s="6">
        <v>146962642926.80096</v>
      </c>
      <c r="U57" s="9"/>
      <c r="V57" s="7"/>
      <c r="W57" s="7"/>
      <c r="X57" s="7"/>
      <c r="Y57" s="7"/>
      <c r="Z57" s="7"/>
    </row>
    <row r="58" spans="4:26" x14ac:dyDescent="0.35">
      <c r="D58" s="7"/>
      <c r="E58" s="7"/>
      <c r="F58" s="7"/>
      <c r="G58" s="7"/>
      <c r="H58" s="7"/>
      <c r="I58" s="7"/>
      <c r="J58" s="7"/>
      <c r="K58" s="7"/>
      <c r="L58" s="7"/>
      <c r="M58" s="7"/>
      <c r="N58" s="7"/>
      <c r="O58" s="7"/>
      <c r="P58" s="7"/>
      <c r="Q58" s="7"/>
      <c r="R58" s="7"/>
      <c r="S58" s="5" t="s">
        <v>15</v>
      </c>
      <c r="T58" s="6">
        <v>5464903595.5785408</v>
      </c>
      <c r="U58" s="21"/>
      <c r="V58" s="7"/>
      <c r="W58" s="7"/>
      <c r="X58" s="7"/>
      <c r="Y58" s="7"/>
      <c r="Z58" s="7"/>
    </row>
    <row r="59" spans="4:26" x14ac:dyDescent="0.35">
      <c r="D59" s="7"/>
      <c r="E59" s="7"/>
      <c r="F59" s="7"/>
      <c r="G59" s="7"/>
      <c r="H59" s="7"/>
      <c r="I59" s="7"/>
      <c r="J59" s="7"/>
      <c r="K59" s="7"/>
      <c r="L59" s="7"/>
      <c r="M59" s="7"/>
      <c r="N59" s="7"/>
      <c r="O59" s="7"/>
      <c r="P59" s="7"/>
      <c r="Q59" s="7"/>
      <c r="R59" s="7"/>
      <c r="S59" s="11" t="s">
        <v>398</v>
      </c>
      <c r="T59" s="12">
        <v>345386080896.88391</v>
      </c>
      <c r="U59" s="7"/>
      <c r="V59" s="7"/>
      <c r="W59" s="7"/>
      <c r="X59" s="7"/>
      <c r="Y59" s="7"/>
      <c r="Z59" s="7"/>
    </row>
    <row r="60" spans="4:26" x14ac:dyDescent="0.35">
      <c r="D60" s="7"/>
      <c r="E60" s="7"/>
      <c r="F60" s="7"/>
      <c r="G60" s="7"/>
      <c r="H60" s="7"/>
      <c r="I60" s="7"/>
      <c r="J60" s="7"/>
      <c r="K60" s="7"/>
      <c r="L60" s="7"/>
      <c r="M60" s="7"/>
      <c r="N60" s="7"/>
      <c r="O60" s="7"/>
      <c r="P60" s="7"/>
      <c r="Q60" s="7"/>
      <c r="R60" s="7"/>
      <c r="S60" s="7"/>
      <c r="T60" s="7"/>
      <c r="U60" s="7"/>
      <c r="V60" s="7"/>
      <c r="W60" s="7"/>
      <c r="X60" s="7"/>
      <c r="Y60" s="7"/>
      <c r="Z60" s="7"/>
    </row>
    <row r="61" spans="4:26" x14ac:dyDescent="0.35">
      <c r="D61" s="7"/>
      <c r="E61" s="7"/>
      <c r="F61" s="7"/>
      <c r="G61" s="7"/>
      <c r="H61" s="7"/>
      <c r="I61" s="7"/>
      <c r="J61" s="7"/>
      <c r="K61" s="7"/>
      <c r="L61" s="7"/>
      <c r="M61" s="7"/>
      <c r="N61" s="7"/>
      <c r="O61" s="7"/>
      <c r="P61" s="7"/>
      <c r="Q61" s="7"/>
      <c r="R61" s="7"/>
      <c r="S61" s="7"/>
      <c r="T61" s="7"/>
      <c r="U61" s="7"/>
      <c r="V61" s="7"/>
      <c r="W61" s="7"/>
      <c r="X61" s="7"/>
      <c r="Y61" s="7"/>
      <c r="Z61" s="7"/>
    </row>
    <row r="62" spans="4:26" x14ac:dyDescent="0.35">
      <c r="D62" s="7"/>
      <c r="E62" s="7"/>
      <c r="F62" s="7"/>
      <c r="G62" s="7"/>
      <c r="H62" s="7"/>
      <c r="I62" s="7"/>
      <c r="J62" s="7"/>
      <c r="K62" s="7"/>
      <c r="L62" s="7"/>
      <c r="M62" s="7"/>
      <c r="N62" s="7"/>
      <c r="O62" s="7"/>
      <c r="P62" s="7"/>
      <c r="Q62" s="7"/>
      <c r="R62" s="7"/>
      <c r="S62" s="7"/>
      <c r="T62" s="7"/>
      <c r="U62" s="7"/>
      <c r="V62" s="7"/>
      <c r="W62" s="7"/>
      <c r="X62" s="7"/>
      <c r="Y62" s="7"/>
      <c r="Z62" s="7"/>
    </row>
    <row r="63" spans="4:26" x14ac:dyDescent="0.35">
      <c r="D63" s="7"/>
      <c r="E63" s="7"/>
      <c r="F63" s="7"/>
      <c r="G63" s="7"/>
      <c r="H63" s="7"/>
      <c r="I63" s="7"/>
      <c r="J63" s="7"/>
      <c r="K63" s="7"/>
      <c r="L63" s="7"/>
      <c r="M63" s="7"/>
      <c r="N63" s="7"/>
      <c r="O63" s="7"/>
      <c r="P63" s="7"/>
      <c r="Q63" s="7"/>
      <c r="R63" s="7"/>
      <c r="S63" s="7"/>
      <c r="T63" s="7"/>
      <c r="U63" s="7"/>
      <c r="V63" s="7"/>
      <c r="W63" s="7"/>
      <c r="X63" s="7"/>
      <c r="Y63" s="7"/>
      <c r="Z63" s="7"/>
    </row>
    <row r="64" spans="4:26" x14ac:dyDescent="0.35">
      <c r="D64" s="7"/>
      <c r="E64" s="7"/>
      <c r="F64" s="7"/>
      <c r="G64" s="7"/>
      <c r="H64" s="7"/>
      <c r="I64" s="7"/>
      <c r="J64" s="7"/>
      <c r="K64" s="7"/>
      <c r="L64" s="7"/>
      <c r="M64" s="7"/>
      <c r="N64" s="7"/>
      <c r="O64" s="7"/>
      <c r="P64" s="7"/>
      <c r="Q64" s="7"/>
      <c r="R64" s="7"/>
      <c r="S64" s="7"/>
      <c r="T64" s="7"/>
      <c r="U64" s="7"/>
      <c r="V64" s="7"/>
      <c r="W64" s="7"/>
      <c r="X64" s="7"/>
      <c r="Y64" s="7"/>
      <c r="Z64" s="7"/>
    </row>
    <row r="65" spans="4:26" x14ac:dyDescent="0.35">
      <c r="D65" s="7"/>
      <c r="E65" s="7"/>
      <c r="F65" s="7"/>
      <c r="G65" s="7"/>
      <c r="H65" s="7"/>
      <c r="I65" s="7"/>
      <c r="J65" s="7"/>
      <c r="K65" s="7"/>
      <c r="L65" s="7"/>
      <c r="M65" s="7"/>
      <c r="N65" s="7"/>
      <c r="O65" s="7"/>
      <c r="P65" s="7"/>
      <c r="Q65" s="7"/>
      <c r="R65" s="7"/>
      <c r="S65" s="7"/>
      <c r="T65" s="7"/>
      <c r="U65" s="7"/>
      <c r="V65" s="7"/>
      <c r="W65" s="7"/>
      <c r="X65" s="7"/>
      <c r="Y65" s="7"/>
      <c r="Z65" s="7"/>
    </row>
    <row r="66" spans="4:26" x14ac:dyDescent="0.35">
      <c r="D66" s="7"/>
      <c r="E66" s="7"/>
      <c r="F66" s="7"/>
      <c r="G66" s="7"/>
      <c r="H66" s="7"/>
      <c r="I66" s="7"/>
      <c r="J66" s="7"/>
      <c r="K66" s="7"/>
      <c r="L66" s="7"/>
      <c r="M66" s="7"/>
      <c r="N66" s="7"/>
      <c r="O66" s="7"/>
      <c r="P66" s="7"/>
      <c r="Q66" s="7"/>
      <c r="R66" s="7"/>
      <c r="S66" s="7"/>
      <c r="T66" s="7"/>
      <c r="U66" s="7"/>
      <c r="V66" s="7"/>
      <c r="W66" s="7"/>
      <c r="X66" s="7"/>
      <c r="Y66" s="7"/>
      <c r="Z66" s="7"/>
    </row>
    <row r="67" spans="4:26" x14ac:dyDescent="0.35">
      <c r="D67" s="7"/>
      <c r="E67" s="7"/>
      <c r="F67" s="7"/>
      <c r="G67" s="7"/>
      <c r="H67" s="7"/>
      <c r="I67" s="7"/>
      <c r="J67" s="7"/>
      <c r="K67" s="7"/>
      <c r="L67" s="7"/>
      <c r="M67" s="7"/>
      <c r="N67" s="7"/>
      <c r="O67" s="7"/>
      <c r="P67" s="7"/>
      <c r="Q67" s="7"/>
      <c r="R67" s="7"/>
      <c r="S67" s="7"/>
      <c r="T67" s="7"/>
      <c r="U67" s="7"/>
      <c r="V67" s="7"/>
      <c r="W67" s="7"/>
      <c r="X67" s="7"/>
      <c r="Y67" s="7"/>
      <c r="Z67" s="7"/>
    </row>
    <row r="68" spans="4:26" x14ac:dyDescent="0.35">
      <c r="D68" s="7"/>
      <c r="E68" s="7"/>
      <c r="F68" s="7"/>
      <c r="G68" s="7"/>
      <c r="H68" s="7"/>
      <c r="I68" s="7"/>
      <c r="J68" s="7"/>
      <c r="K68" s="7"/>
      <c r="L68" s="7"/>
      <c r="M68" s="7"/>
      <c r="N68" s="7"/>
      <c r="O68" s="7"/>
      <c r="P68" s="7"/>
      <c r="Q68" s="7"/>
      <c r="R68" s="7"/>
      <c r="S68" s="7"/>
      <c r="T68" s="7"/>
      <c r="U68" s="7"/>
      <c r="V68" s="7"/>
      <c r="W68" s="7"/>
      <c r="X68" s="7"/>
      <c r="Y68" s="7"/>
      <c r="Z68" s="7"/>
    </row>
    <row r="69" spans="4:26" x14ac:dyDescent="0.35">
      <c r="D69" s="7"/>
      <c r="E69" s="7"/>
      <c r="F69" s="7"/>
      <c r="G69" s="7"/>
      <c r="H69" s="7"/>
      <c r="I69" s="7"/>
      <c r="J69" s="7"/>
      <c r="K69" s="7"/>
      <c r="L69" s="7"/>
      <c r="M69" s="7"/>
      <c r="N69" s="7"/>
      <c r="O69" s="10" t="s">
        <v>400</v>
      </c>
      <c r="P69" s="10" t="s">
        <v>434</v>
      </c>
      <c r="Q69" s="7"/>
      <c r="R69" s="7"/>
      <c r="S69" s="7"/>
      <c r="T69" s="7"/>
      <c r="U69" s="7"/>
      <c r="V69" s="7"/>
      <c r="W69" s="7"/>
      <c r="X69" s="7"/>
      <c r="Y69" s="7"/>
      <c r="Z69" s="7"/>
    </row>
    <row r="70" spans="4:26" x14ac:dyDescent="0.35">
      <c r="D70" s="7"/>
      <c r="E70" s="7"/>
      <c r="F70" s="7"/>
      <c r="G70" s="7"/>
      <c r="H70" s="7"/>
      <c r="I70" s="7"/>
      <c r="J70" s="7"/>
      <c r="K70" s="7"/>
      <c r="L70" s="7"/>
      <c r="M70" s="7"/>
      <c r="N70" s="7"/>
      <c r="O70" s="5" t="s">
        <v>8</v>
      </c>
      <c r="P70" s="6">
        <v>79431371927.590775</v>
      </c>
      <c r="Q70" s="7"/>
      <c r="R70" s="7"/>
      <c r="S70" s="7"/>
      <c r="T70" s="7"/>
      <c r="U70" s="7"/>
      <c r="V70" s="7"/>
      <c r="W70" s="7"/>
      <c r="X70" s="7"/>
      <c r="Y70" s="7"/>
      <c r="Z70" s="7"/>
    </row>
    <row r="71" spans="4:26" x14ac:dyDescent="0.35">
      <c r="D71" s="7"/>
      <c r="E71" s="7"/>
      <c r="F71" s="7"/>
      <c r="G71" s="7"/>
      <c r="H71" s="7"/>
      <c r="I71" s="7"/>
      <c r="J71" s="7"/>
      <c r="K71" s="7"/>
      <c r="L71" s="7"/>
      <c r="M71" s="7"/>
      <c r="N71" s="7"/>
      <c r="O71" s="5" t="s">
        <v>14</v>
      </c>
      <c r="P71" s="6">
        <v>4383074905.1874456</v>
      </c>
      <c r="Q71" s="7"/>
      <c r="R71" s="7"/>
      <c r="S71" s="7"/>
      <c r="T71" s="7"/>
      <c r="U71" s="7"/>
      <c r="V71" s="7"/>
      <c r="W71" s="7"/>
      <c r="X71" s="7"/>
      <c r="Y71" s="7"/>
      <c r="Z71" s="7"/>
    </row>
    <row r="72" spans="4:26" x14ac:dyDescent="0.35">
      <c r="D72" s="7"/>
      <c r="E72" s="7"/>
      <c r="F72" s="7"/>
      <c r="G72" s="7"/>
      <c r="H72" s="7"/>
      <c r="I72" s="7"/>
      <c r="J72" s="7"/>
      <c r="K72" s="7"/>
      <c r="L72" s="7"/>
      <c r="M72" s="7"/>
      <c r="N72" s="7"/>
      <c r="O72" s="5" t="s">
        <v>21</v>
      </c>
      <c r="P72" s="6">
        <v>2006479617.2378588</v>
      </c>
      <c r="Q72" s="7"/>
      <c r="R72" s="7"/>
      <c r="S72" s="7"/>
      <c r="T72" s="7"/>
      <c r="U72" s="7"/>
      <c r="V72" s="7"/>
      <c r="W72" s="7"/>
      <c r="X72" s="7"/>
      <c r="Y72" s="7"/>
      <c r="Z72" s="7"/>
    </row>
    <row r="73" spans="4:26" x14ac:dyDescent="0.35">
      <c r="D73" s="7"/>
      <c r="E73" s="7"/>
      <c r="F73" s="7"/>
      <c r="G73" s="7"/>
      <c r="H73" s="7"/>
      <c r="I73" s="7"/>
      <c r="J73" s="7"/>
      <c r="K73" s="7"/>
      <c r="L73" s="7"/>
      <c r="M73" s="7"/>
      <c r="N73" s="7"/>
      <c r="O73" s="5" t="s">
        <v>10</v>
      </c>
      <c r="P73" s="6">
        <v>44450877161.72728</v>
      </c>
      <c r="Q73" s="7"/>
      <c r="R73" s="7"/>
      <c r="S73" s="7"/>
      <c r="T73" s="7"/>
      <c r="U73" s="7"/>
      <c r="V73" s="7"/>
      <c r="W73" s="7"/>
      <c r="X73" s="7"/>
      <c r="Y73" s="7"/>
      <c r="Z73" s="7"/>
    </row>
    <row r="74" spans="4:26" x14ac:dyDescent="0.35">
      <c r="D74" s="7"/>
      <c r="E74" s="7"/>
      <c r="F74" s="7"/>
      <c r="G74" s="7"/>
      <c r="H74" s="7"/>
      <c r="I74" s="7"/>
      <c r="J74" s="7"/>
      <c r="K74" s="7"/>
      <c r="L74" s="7"/>
      <c r="M74" s="7"/>
      <c r="N74" s="7"/>
      <c r="O74" s="5" t="s">
        <v>183</v>
      </c>
      <c r="P74" s="6">
        <v>11378638930.897017</v>
      </c>
      <c r="Q74" s="7"/>
      <c r="R74" s="7"/>
      <c r="S74" s="7"/>
      <c r="T74" s="7"/>
      <c r="U74" s="7"/>
      <c r="V74" s="7"/>
      <c r="W74" s="7"/>
      <c r="X74" s="7"/>
      <c r="Y74" s="7"/>
      <c r="Z74" s="7"/>
    </row>
    <row r="75" spans="4:26" x14ac:dyDescent="0.35">
      <c r="D75" s="7"/>
      <c r="E75" s="7"/>
      <c r="F75" s="7"/>
      <c r="G75" s="7"/>
      <c r="H75" s="7"/>
      <c r="I75" s="7"/>
      <c r="J75" s="7"/>
      <c r="K75" s="7"/>
      <c r="L75" s="7"/>
      <c r="M75" s="7"/>
      <c r="N75" s="7"/>
      <c r="O75" s="5" t="s">
        <v>17</v>
      </c>
      <c r="P75" s="6">
        <v>7375324263.619132</v>
      </c>
      <c r="Q75" s="7"/>
      <c r="R75" s="7"/>
      <c r="S75" s="7"/>
      <c r="T75" s="7"/>
      <c r="U75" s="7"/>
      <c r="V75" s="7"/>
      <c r="W75" s="7"/>
      <c r="X75" s="7"/>
      <c r="Y75" s="7"/>
      <c r="Z75" s="7"/>
    </row>
    <row r="76" spans="4:26" x14ac:dyDescent="0.35">
      <c r="D76" s="7"/>
      <c r="E76" s="7"/>
      <c r="F76" s="7"/>
      <c r="G76" s="7"/>
      <c r="H76" s="7"/>
      <c r="I76" s="7"/>
      <c r="J76" s="7"/>
      <c r="K76" s="7"/>
      <c r="L76" s="7"/>
      <c r="M76" s="7"/>
      <c r="N76" s="7"/>
      <c r="O76" s="5" t="s">
        <v>12</v>
      </c>
      <c r="P76" s="6">
        <v>146962642926.80096</v>
      </c>
      <c r="Q76" s="7"/>
      <c r="R76" s="7"/>
      <c r="S76" s="7"/>
      <c r="T76" s="7"/>
      <c r="U76" s="7"/>
      <c r="V76" s="7"/>
      <c r="W76" s="7"/>
      <c r="X76" s="7"/>
      <c r="Y76" s="7"/>
      <c r="Z76" s="7"/>
    </row>
    <row r="77" spans="4:26" x14ac:dyDescent="0.35">
      <c r="D77" s="7"/>
      <c r="E77" s="7"/>
      <c r="F77" s="7"/>
      <c r="G77" s="7"/>
      <c r="H77" s="7"/>
      <c r="I77" s="7"/>
      <c r="J77" s="7"/>
      <c r="K77" s="7"/>
      <c r="L77" s="7"/>
      <c r="M77" s="7"/>
      <c r="N77" s="7"/>
      <c r="O77" s="5" t="s">
        <v>16</v>
      </c>
      <c r="P77" s="6">
        <v>17960088237.617249</v>
      </c>
      <c r="Q77" s="7"/>
      <c r="R77" s="7"/>
      <c r="S77" s="7"/>
      <c r="T77" s="7"/>
      <c r="U77" s="7"/>
      <c r="V77" s="7"/>
      <c r="W77" s="7"/>
      <c r="X77" s="7"/>
      <c r="Y77" s="7"/>
      <c r="Z77" s="7"/>
    </row>
    <row r="78" spans="4:26" x14ac:dyDescent="0.35">
      <c r="D78" s="7"/>
      <c r="E78" s="7"/>
      <c r="F78" s="7"/>
      <c r="G78" s="7"/>
      <c r="H78" s="7"/>
      <c r="I78" s="7"/>
      <c r="J78" s="7"/>
      <c r="K78" s="7"/>
      <c r="L78" s="7"/>
      <c r="M78" s="7"/>
      <c r="N78" s="7"/>
      <c r="O78" s="5" t="s">
        <v>45</v>
      </c>
      <c r="P78" s="6">
        <v>2331998634.426074</v>
      </c>
      <c r="Q78" s="7"/>
      <c r="R78" s="7"/>
      <c r="S78" s="7"/>
      <c r="T78" s="7"/>
      <c r="U78" s="7"/>
      <c r="V78" s="7"/>
      <c r="W78" s="7"/>
      <c r="X78" s="7"/>
      <c r="Y78" s="7"/>
      <c r="Z78" s="7"/>
    </row>
    <row r="79" spans="4:26" x14ac:dyDescent="0.35">
      <c r="D79" s="7"/>
      <c r="E79" s="7"/>
      <c r="F79" s="7"/>
      <c r="G79" s="7"/>
      <c r="H79" s="7"/>
      <c r="I79" s="7"/>
      <c r="J79" s="7"/>
      <c r="K79" s="7"/>
      <c r="L79" s="7"/>
      <c r="M79" s="7"/>
      <c r="N79" s="7"/>
      <c r="O79" s="5" t="s">
        <v>15</v>
      </c>
      <c r="P79" s="6">
        <v>5464903595.5785408</v>
      </c>
      <c r="Q79" s="7"/>
      <c r="R79" s="7"/>
      <c r="S79" s="7"/>
      <c r="T79" s="7"/>
      <c r="U79" s="7"/>
      <c r="V79" s="7"/>
      <c r="W79" s="7"/>
      <c r="X79" s="7"/>
      <c r="Y79" s="7"/>
      <c r="Z79" s="7"/>
    </row>
    <row r="80" spans="4:26" x14ac:dyDescent="0.35">
      <c r="D80" s="7"/>
      <c r="E80" s="7"/>
      <c r="F80" s="7"/>
      <c r="G80" s="7"/>
      <c r="H80" s="7"/>
      <c r="I80" s="7"/>
      <c r="J80" s="7"/>
      <c r="K80" s="7"/>
      <c r="L80" s="7"/>
      <c r="M80" s="7"/>
      <c r="N80" s="7"/>
      <c r="O80" s="11" t="s">
        <v>398</v>
      </c>
      <c r="P80" s="12">
        <v>321745400200.68231</v>
      </c>
      <c r="Q80" s="7"/>
      <c r="R80" s="7"/>
      <c r="S80" s="7"/>
      <c r="T80" s="7"/>
      <c r="U80" s="7"/>
      <c r="V80" s="7"/>
      <c r="W80" s="7"/>
      <c r="X80" s="7"/>
      <c r="Y80" s="7"/>
      <c r="Z80" s="7"/>
    </row>
    <row r="81" spans="4:26" x14ac:dyDescent="0.35">
      <c r="D81" s="7"/>
      <c r="E81" s="7"/>
      <c r="F81" s="7"/>
      <c r="G81" s="7"/>
      <c r="H81" s="7"/>
      <c r="I81" s="7"/>
      <c r="J81" s="7"/>
      <c r="K81" s="7"/>
      <c r="L81" s="7"/>
      <c r="M81" s="7"/>
      <c r="N81" s="7"/>
      <c r="O81" s="7"/>
      <c r="P81" s="7"/>
      <c r="Q81" s="7"/>
      <c r="R81" s="7"/>
      <c r="S81" s="7"/>
      <c r="T81" s="7"/>
      <c r="U81" s="7"/>
      <c r="V81" s="7"/>
      <c r="W81" s="7"/>
      <c r="X81" s="7"/>
      <c r="Y81" s="7"/>
      <c r="Z81" s="7"/>
    </row>
    <row r="82" spans="4:26" x14ac:dyDescent="0.35">
      <c r="D82" s="7"/>
      <c r="E82" s="7"/>
      <c r="F82" s="7"/>
      <c r="G82" s="7"/>
      <c r="H82" s="7"/>
      <c r="I82" s="7"/>
      <c r="J82" s="7"/>
      <c r="K82" s="7"/>
      <c r="L82" s="7"/>
      <c r="M82" s="7"/>
      <c r="N82" s="7"/>
      <c r="O82" s="7"/>
      <c r="P82" s="7"/>
      <c r="Q82" s="7"/>
      <c r="R82" s="7"/>
      <c r="S82" s="7"/>
      <c r="T82" s="7"/>
      <c r="U82" s="7"/>
      <c r="V82" s="7"/>
      <c r="W82" s="7"/>
      <c r="X82" s="7"/>
      <c r="Y82" s="7"/>
      <c r="Z82" s="7"/>
    </row>
    <row r="83" spans="4:26" x14ac:dyDescent="0.35">
      <c r="D83" s="7"/>
      <c r="E83" s="7"/>
      <c r="F83" s="7"/>
      <c r="G83" s="7"/>
      <c r="H83" s="7"/>
      <c r="I83" s="7"/>
      <c r="J83" s="7"/>
      <c r="K83" s="7"/>
      <c r="L83" s="7"/>
      <c r="M83" s="7"/>
      <c r="N83" s="7"/>
      <c r="O83" s="7"/>
      <c r="P83" s="7"/>
      <c r="Q83" s="7"/>
      <c r="R83" s="7"/>
      <c r="S83" s="7"/>
      <c r="T83" s="7"/>
      <c r="U83" s="7"/>
      <c r="V83" s="7"/>
      <c r="W83" s="7"/>
      <c r="X83" s="7"/>
      <c r="Y83" s="7"/>
      <c r="Z83" s="7"/>
    </row>
    <row r="84" spans="4:26" x14ac:dyDescent="0.35">
      <c r="D84" s="7"/>
      <c r="E84" s="7"/>
      <c r="F84" s="7"/>
      <c r="G84" s="7"/>
      <c r="H84" s="7"/>
      <c r="I84" s="7"/>
      <c r="J84" s="7"/>
      <c r="K84" s="7"/>
      <c r="L84" s="7"/>
      <c r="M84" s="7"/>
      <c r="N84" s="7"/>
      <c r="O84" s="7"/>
      <c r="P84" s="7"/>
      <c r="Q84" s="7"/>
      <c r="R84" s="7"/>
      <c r="S84" s="7"/>
      <c r="T84" s="7"/>
      <c r="U84" s="7"/>
      <c r="V84" s="7"/>
      <c r="W84" s="7"/>
      <c r="X84" s="7"/>
      <c r="Y84" s="7"/>
      <c r="Z84" s="7"/>
    </row>
    <row r="85" spans="4:26" x14ac:dyDescent="0.35">
      <c r="D85" s="7"/>
      <c r="E85" s="7"/>
      <c r="F85" s="7"/>
      <c r="G85" s="7"/>
      <c r="H85" s="7"/>
      <c r="I85" s="7"/>
      <c r="J85" s="7"/>
      <c r="K85" s="7"/>
      <c r="L85" s="7"/>
      <c r="M85" s="7"/>
      <c r="N85" s="7"/>
      <c r="O85" s="7"/>
      <c r="P85" s="7"/>
      <c r="Q85" s="7"/>
      <c r="R85" s="7"/>
      <c r="S85" s="7"/>
      <c r="T85" s="7"/>
      <c r="U85" s="7"/>
      <c r="V85" s="7"/>
      <c r="W85" s="7"/>
      <c r="X85" s="7"/>
      <c r="Y85" s="7"/>
      <c r="Z85" s="7"/>
    </row>
    <row r="86" spans="4:26" x14ac:dyDescent="0.35">
      <c r="D86" s="7"/>
      <c r="E86" s="7"/>
      <c r="F86" s="7"/>
      <c r="G86" s="7"/>
      <c r="H86" s="7"/>
      <c r="I86" s="7"/>
      <c r="J86" s="7"/>
      <c r="K86" s="7"/>
      <c r="L86" s="7"/>
      <c r="M86" s="7"/>
      <c r="N86" s="7"/>
      <c r="O86" s="7"/>
      <c r="P86" s="7"/>
      <c r="Q86" s="7"/>
      <c r="R86" s="7"/>
      <c r="S86" s="7"/>
      <c r="T86" s="7"/>
      <c r="U86" s="7"/>
      <c r="V86" s="7"/>
      <c r="W86" s="7"/>
      <c r="X86" s="7"/>
      <c r="Y86" s="7"/>
      <c r="Z86" s="7"/>
    </row>
    <row r="87" spans="4:26" x14ac:dyDescent="0.35">
      <c r="D87" s="7"/>
      <c r="E87" s="7"/>
      <c r="F87" s="7"/>
      <c r="G87" s="7"/>
      <c r="H87" s="7"/>
      <c r="I87" s="7"/>
      <c r="J87" s="7"/>
      <c r="K87" s="7"/>
      <c r="L87" s="7"/>
      <c r="M87" s="7"/>
      <c r="N87" s="7"/>
      <c r="O87" s="7"/>
      <c r="P87" s="7"/>
      <c r="Q87" s="7"/>
      <c r="R87" s="7"/>
      <c r="S87" s="7"/>
      <c r="T87" s="7"/>
      <c r="U87" s="7"/>
      <c r="V87" s="7"/>
      <c r="W87" s="7"/>
      <c r="X87" s="7"/>
      <c r="Y87" s="7"/>
      <c r="Z87" s="7"/>
    </row>
    <row r="88" spans="4:26" x14ac:dyDescent="0.35">
      <c r="D88" s="7"/>
      <c r="E88" s="7"/>
      <c r="F88" s="7"/>
      <c r="G88" s="7"/>
      <c r="H88" s="7"/>
      <c r="I88" s="7"/>
      <c r="J88" s="7"/>
      <c r="K88" s="7"/>
      <c r="L88" s="7"/>
      <c r="M88" s="7"/>
      <c r="N88" s="7"/>
      <c r="O88" s="7"/>
      <c r="P88" s="7"/>
      <c r="Q88" s="7"/>
      <c r="R88" s="7"/>
      <c r="S88" s="7"/>
      <c r="T88" s="7"/>
      <c r="U88" s="7"/>
      <c r="V88" s="7"/>
      <c r="W88" s="7"/>
      <c r="X88" s="7"/>
      <c r="Y88" s="7"/>
      <c r="Z88" s="7"/>
    </row>
    <row r="89" spans="4:26" x14ac:dyDescent="0.35">
      <c r="D89" s="7"/>
      <c r="E89" s="7"/>
      <c r="F89" s="7"/>
      <c r="G89" s="7"/>
      <c r="H89" s="7"/>
      <c r="I89" s="7"/>
      <c r="J89" s="7"/>
      <c r="K89" s="7"/>
      <c r="L89" s="7"/>
      <c r="M89" s="7"/>
      <c r="N89" s="7"/>
      <c r="O89" s="7"/>
      <c r="P89" s="7"/>
      <c r="Q89" s="7"/>
      <c r="R89" s="7"/>
      <c r="S89" s="7"/>
      <c r="T89" s="7"/>
      <c r="U89" s="7"/>
      <c r="V89" s="7"/>
      <c r="W89" s="7"/>
      <c r="X89" s="7"/>
      <c r="Y89" s="7"/>
      <c r="Z89" s="7"/>
    </row>
    <row r="90" spans="4:26" x14ac:dyDescent="0.35">
      <c r="D90" s="7"/>
      <c r="E90" s="7"/>
      <c r="F90" s="7"/>
      <c r="G90" s="7"/>
      <c r="H90" s="7"/>
      <c r="I90" s="7"/>
      <c r="J90" s="7"/>
      <c r="K90" s="7"/>
      <c r="L90" s="7"/>
      <c r="M90" s="7"/>
      <c r="N90" s="7"/>
      <c r="O90" s="7"/>
      <c r="P90" s="7"/>
      <c r="Q90" s="7"/>
      <c r="R90" s="7"/>
      <c r="S90" s="7"/>
      <c r="T90" s="7"/>
      <c r="U90" s="7"/>
      <c r="V90" s="7"/>
      <c r="W90" s="7"/>
      <c r="X90" s="7"/>
      <c r="Y90" s="7"/>
      <c r="Z90" s="7"/>
    </row>
    <row r="91" spans="4:26" x14ac:dyDescent="0.35">
      <c r="D91" s="7"/>
      <c r="E91" s="7"/>
      <c r="F91" s="7"/>
      <c r="G91" s="7"/>
      <c r="H91" s="7"/>
      <c r="I91" s="7"/>
      <c r="J91" s="7"/>
      <c r="K91" s="7"/>
      <c r="L91" s="7"/>
      <c r="M91" s="7"/>
      <c r="N91" s="7"/>
      <c r="O91" s="7"/>
      <c r="P91" s="7"/>
      <c r="Q91" s="7"/>
      <c r="R91" s="7"/>
      <c r="S91" s="7"/>
      <c r="T91" s="7"/>
      <c r="U91" s="7"/>
      <c r="V91" s="7"/>
      <c r="W91" s="7"/>
      <c r="X91" s="7"/>
      <c r="Y91" s="7"/>
      <c r="Z91" s="7"/>
    </row>
    <row r="92" spans="4:26" x14ac:dyDescent="0.35">
      <c r="D92" s="7"/>
      <c r="E92" s="7"/>
      <c r="F92" s="7"/>
      <c r="G92" s="7"/>
      <c r="H92" s="7"/>
      <c r="I92" s="7"/>
      <c r="J92" s="7"/>
      <c r="K92" s="7"/>
      <c r="L92" s="7"/>
      <c r="M92" s="7"/>
      <c r="N92" s="7"/>
      <c r="O92" s="7"/>
      <c r="P92" s="7"/>
      <c r="Q92" s="7"/>
      <c r="R92" s="7"/>
      <c r="S92" s="7"/>
      <c r="T92" s="7"/>
      <c r="U92" s="7"/>
      <c r="V92" s="7"/>
      <c r="W92" s="7"/>
      <c r="X92" s="7"/>
      <c r="Y92" s="7"/>
      <c r="Z92" s="7"/>
    </row>
    <row r="93" spans="4:26" x14ac:dyDescent="0.35">
      <c r="D93" s="7"/>
      <c r="E93" s="7"/>
      <c r="F93" s="7"/>
      <c r="G93" s="7"/>
      <c r="H93" s="7"/>
      <c r="I93" s="7"/>
      <c r="J93" s="7"/>
      <c r="K93" s="7"/>
      <c r="L93" s="7"/>
      <c r="M93" s="7"/>
      <c r="N93" s="7"/>
      <c r="O93" s="7"/>
      <c r="P93" s="7"/>
      <c r="Q93" s="7"/>
      <c r="R93" s="7"/>
      <c r="S93" s="7"/>
      <c r="T93" s="7"/>
      <c r="U93" s="7"/>
      <c r="V93" s="7"/>
      <c r="W93" s="7"/>
      <c r="X93" s="7"/>
      <c r="Y93" s="7"/>
      <c r="Z93" s="7"/>
    </row>
    <row r="94" spans="4:26" x14ac:dyDescent="0.35">
      <c r="D94" s="7"/>
      <c r="E94" s="7"/>
      <c r="F94" s="7"/>
      <c r="G94" s="7"/>
      <c r="H94" s="7"/>
      <c r="I94" s="7"/>
      <c r="J94" s="7"/>
      <c r="K94" s="7"/>
      <c r="L94" s="7"/>
      <c r="M94" s="7"/>
      <c r="N94" s="7"/>
      <c r="O94" s="7"/>
      <c r="P94" s="7"/>
      <c r="Q94" s="7"/>
      <c r="R94" s="7"/>
      <c r="S94" s="7"/>
      <c r="T94" s="7"/>
      <c r="U94" s="7"/>
      <c r="V94" s="7"/>
      <c r="W94" s="7"/>
      <c r="X94" s="7"/>
      <c r="Y94" s="7"/>
      <c r="Z94" s="7"/>
    </row>
    <row r="95" spans="4:26" x14ac:dyDescent="0.35">
      <c r="D95" s="7"/>
      <c r="E95" s="7"/>
      <c r="F95" s="7"/>
      <c r="G95" s="7"/>
      <c r="H95" s="7"/>
      <c r="I95" s="7"/>
      <c r="J95" s="7"/>
      <c r="K95" s="7"/>
      <c r="L95" s="7"/>
      <c r="M95" s="7"/>
      <c r="N95" s="7"/>
      <c r="O95" s="7"/>
      <c r="P95" s="7"/>
      <c r="Q95" s="7"/>
      <c r="R95" s="7"/>
      <c r="S95" s="7"/>
      <c r="T95" s="7"/>
      <c r="U95" s="7"/>
      <c r="V95" s="7"/>
      <c r="W95" s="7"/>
      <c r="X95" s="7"/>
      <c r="Y95" s="7"/>
      <c r="Z95" s="7"/>
    </row>
    <row r="96" spans="4:26" x14ac:dyDescent="0.35">
      <c r="D96" s="7"/>
      <c r="E96" s="7"/>
      <c r="F96" s="7"/>
      <c r="G96" s="7"/>
      <c r="H96" s="7"/>
      <c r="I96" s="7"/>
      <c r="J96" s="7"/>
      <c r="K96" s="7"/>
      <c r="L96" s="7"/>
      <c r="M96" s="7"/>
      <c r="N96" s="7"/>
      <c r="O96" s="7"/>
      <c r="P96" s="7"/>
      <c r="Q96" s="7"/>
      <c r="R96" s="7"/>
      <c r="S96" s="7"/>
      <c r="T96" s="7"/>
      <c r="U96" s="7"/>
      <c r="V96" s="7"/>
      <c r="W96" s="7"/>
      <c r="X96" s="7"/>
      <c r="Y96" s="7"/>
      <c r="Z96" s="7"/>
    </row>
    <row r="97" spans="4:26" x14ac:dyDescent="0.35">
      <c r="D97" s="7"/>
      <c r="E97" s="7"/>
      <c r="F97" s="7"/>
      <c r="G97" s="7"/>
      <c r="H97" s="7"/>
      <c r="I97" s="7"/>
      <c r="J97" s="7"/>
      <c r="K97" s="7"/>
      <c r="L97" s="7"/>
      <c r="M97" s="7"/>
      <c r="N97" s="7"/>
      <c r="O97" s="7"/>
      <c r="P97" s="7"/>
      <c r="Q97" s="7"/>
      <c r="R97" s="7"/>
      <c r="S97" s="7"/>
      <c r="T97" s="7"/>
      <c r="U97" s="7"/>
      <c r="V97" s="7"/>
      <c r="W97" s="7"/>
      <c r="X97" s="7"/>
      <c r="Y97" s="7"/>
      <c r="Z97" s="7"/>
    </row>
    <row r="98" spans="4:26" x14ac:dyDescent="0.35">
      <c r="D98" s="7"/>
      <c r="E98" s="7"/>
      <c r="F98" s="7"/>
      <c r="G98" s="7"/>
      <c r="H98" s="7"/>
      <c r="I98" s="7"/>
      <c r="J98" s="7"/>
      <c r="K98" s="7"/>
      <c r="L98" s="7"/>
      <c r="M98" s="7"/>
      <c r="N98" s="7"/>
      <c r="O98" s="7"/>
      <c r="P98" s="7"/>
      <c r="Q98" s="7"/>
      <c r="R98" s="7"/>
      <c r="S98" s="7"/>
      <c r="T98" s="7"/>
      <c r="U98" s="7"/>
      <c r="V98" s="7"/>
      <c r="W98" s="7"/>
      <c r="X98" s="7"/>
      <c r="Y98" s="7"/>
      <c r="Z98" s="7"/>
    </row>
    <row r="99" spans="4:26" x14ac:dyDescent="0.35">
      <c r="D99" s="7"/>
      <c r="E99" s="7"/>
      <c r="F99" s="7"/>
      <c r="G99" s="7"/>
      <c r="H99" s="7"/>
      <c r="I99" s="7"/>
      <c r="J99" s="7"/>
      <c r="K99" s="7"/>
      <c r="L99" s="7"/>
      <c r="M99" s="7"/>
      <c r="N99" s="7"/>
      <c r="O99" s="7"/>
      <c r="P99" s="7"/>
      <c r="Q99" s="7"/>
      <c r="R99" s="7"/>
      <c r="S99" s="7"/>
      <c r="T99" s="7"/>
      <c r="U99" s="7"/>
      <c r="V99" s="7"/>
      <c r="W99" s="7"/>
      <c r="X99" s="7"/>
      <c r="Y99" s="7"/>
      <c r="Z99" s="7"/>
    </row>
    <row r="100" spans="4:26" x14ac:dyDescent="0.35">
      <c r="D100" s="7"/>
      <c r="E100" s="7"/>
      <c r="F100" s="7"/>
      <c r="G100" s="7"/>
      <c r="H100" s="7"/>
      <c r="I100" s="7"/>
      <c r="J100" s="7"/>
      <c r="K100" s="7"/>
      <c r="L100" s="7"/>
      <c r="M100" s="7"/>
      <c r="N100" s="7"/>
      <c r="O100" s="7"/>
      <c r="P100" s="7"/>
      <c r="Q100" s="7"/>
      <c r="R100" s="7"/>
      <c r="S100" s="7"/>
      <c r="T100" s="7"/>
      <c r="U100" s="7"/>
      <c r="V100" s="7"/>
      <c r="W100" s="7"/>
      <c r="X100" s="7"/>
      <c r="Y100" s="7"/>
      <c r="Z100" s="7"/>
    </row>
    <row r="101" spans="4:26" x14ac:dyDescent="0.35">
      <c r="D101" s="7"/>
      <c r="E101" s="7"/>
      <c r="F101" s="7"/>
      <c r="G101" s="7"/>
      <c r="H101" s="7"/>
      <c r="I101" s="7"/>
      <c r="J101" s="7"/>
      <c r="K101" s="7"/>
      <c r="L101" s="7"/>
      <c r="M101" s="7"/>
      <c r="N101" s="7"/>
      <c r="O101" s="7"/>
      <c r="P101" s="7"/>
      <c r="Q101" s="7"/>
      <c r="R101" s="7"/>
      <c r="S101" s="7"/>
      <c r="T101" s="7"/>
      <c r="U101" s="7"/>
      <c r="V101" s="7"/>
      <c r="W101" s="7"/>
      <c r="X101" s="7"/>
      <c r="Y101" s="7"/>
      <c r="Z101" s="7"/>
    </row>
    <row r="102" spans="4:26" x14ac:dyDescent="0.35">
      <c r="D102" s="7"/>
      <c r="E102" s="7"/>
      <c r="F102" s="7"/>
      <c r="G102" s="7"/>
      <c r="H102" s="7"/>
      <c r="I102" s="7"/>
      <c r="J102" s="7"/>
      <c r="K102" s="7"/>
      <c r="L102" s="7"/>
      <c r="M102" s="7"/>
      <c r="N102" s="7"/>
      <c r="O102" s="7"/>
      <c r="P102" s="7"/>
      <c r="Q102" s="7"/>
      <c r="R102" s="7"/>
      <c r="S102" s="7"/>
      <c r="T102" s="7"/>
      <c r="U102" s="7"/>
      <c r="V102" s="7"/>
      <c r="W102" s="7"/>
      <c r="X102" s="7"/>
      <c r="Y102" s="7"/>
      <c r="Z102" s="7"/>
    </row>
    <row r="103" spans="4:26" x14ac:dyDescent="0.35">
      <c r="D103" s="7"/>
      <c r="E103" s="7"/>
      <c r="F103" s="7"/>
      <c r="G103" s="7"/>
      <c r="H103" s="7"/>
      <c r="I103" s="7"/>
      <c r="J103" s="7"/>
      <c r="K103" s="7"/>
      <c r="L103" s="7"/>
      <c r="M103" s="7"/>
      <c r="N103" s="7"/>
      <c r="O103" s="7"/>
      <c r="P103" s="7"/>
      <c r="Q103" s="7"/>
      <c r="R103" s="7"/>
      <c r="S103" s="7"/>
      <c r="T103" s="7"/>
      <c r="U103" s="7"/>
      <c r="V103" s="7"/>
      <c r="W103" s="7"/>
      <c r="X103" s="7"/>
      <c r="Y103" s="7"/>
      <c r="Z103" s="7"/>
    </row>
    <row r="104" spans="4:26" x14ac:dyDescent="0.35">
      <c r="D104" s="7"/>
      <c r="E104" s="7"/>
      <c r="F104" s="7"/>
      <c r="G104" s="7"/>
      <c r="H104" s="7"/>
      <c r="I104" s="7"/>
      <c r="J104" s="7"/>
      <c r="K104" s="7"/>
      <c r="L104" s="7"/>
      <c r="M104" s="7"/>
      <c r="N104" s="7"/>
      <c r="O104" s="7"/>
      <c r="P104" s="7"/>
      <c r="Q104" s="7"/>
      <c r="R104" s="7"/>
      <c r="S104" s="7"/>
      <c r="T104" s="7"/>
      <c r="U104" s="7"/>
      <c r="V104" s="7"/>
      <c r="W104" s="7"/>
      <c r="X104" s="7"/>
      <c r="Y104" s="7"/>
      <c r="Z104" s="7"/>
    </row>
    <row r="105" spans="4:26" x14ac:dyDescent="0.35">
      <c r="D105" s="7"/>
      <c r="E105" s="7"/>
      <c r="F105" s="7"/>
      <c r="G105" s="7"/>
      <c r="H105" s="7"/>
      <c r="I105" s="7"/>
      <c r="J105" s="7"/>
      <c r="K105" s="7"/>
      <c r="L105" s="7"/>
      <c r="M105" s="7"/>
      <c r="N105" s="7"/>
      <c r="O105" s="7"/>
      <c r="P105" s="7"/>
      <c r="Q105" s="7"/>
      <c r="R105" s="7"/>
      <c r="S105" s="7"/>
      <c r="T105" s="7"/>
      <c r="U105" s="7"/>
      <c r="V105" s="7"/>
      <c r="W105" s="7"/>
      <c r="X105" s="7"/>
      <c r="Y105" s="7"/>
      <c r="Z105" s="7"/>
    </row>
    <row r="106" spans="4:26" x14ac:dyDescent="0.35">
      <c r="D106" s="7"/>
      <c r="E106" s="7"/>
      <c r="F106" s="7"/>
      <c r="G106" s="7"/>
      <c r="H106" s="7"/>
      <c r="I106" s="7"/>
      <c r="J106" s="7"/>
      <c r="K106" s="7"/>
      <c r="L106" s="7"/>
      <c r="M106" s="7"/>
      <c r="N106" s="7"/>
      <c r="O106" s="7"/>
      <c r="P106" s="7"/>
      <c r="Q106" s="7"/>
      <c r="R106" s="7"/>
      <c r="S106" s="7"/>
      <c r="T106" s="7"/>
      <c r="U106" s="7"/>
      <c r="V106" s="7"/>
      <c r="W106" s="7"/>
      <c r="X106" s="7"/>
      <c r="Y106" s="7"/>
      <c r="Z106" s="7"/>
    </row>
    <row r="107" spans="4:26" x14ac:dyDescent="0.35">
      <c r="D107" s="7"/>
      <c r="E107" s="7"/>
      <c r="F107" s="7"/>
      <c r="G107" s="7"/>
      <c r="H107" s="7"/>
      <c r="I107" s="7"/>
      <c r="J107" s="7"/>
      <c r="K107" s="7"/>
      <c r="L107" s="7"/>
      <c r="M107" s="7"/>
      <c r="N107" s="7"/>
      <c r="O107" s="7"/>
      <c r="P107" s="7"/>
      <c r="Q107" s="7"/>
      <c r="R107" s="7"/>
      <c r="S107" s="7"/>
      <c r="T107" s="7"/>
      <c r="U107" s="7"/>
      <c r="V107" s="7"/>
      <c r="W107" s="7"/>
      <c r="X107" s="7"/>
      <c r="Y107" s="7"/>
      <c r="Z107" s="7"/>
    </row>
    <row r="108" spans="4:26" x14ac:dyDescent="0.35">
      <c r="D108" s="7"/>
      <c r="E108" s="7"/>
      <c r="F108" s="7"/>
      <c r="G108" s="7"/>
      <c r="H108" s="7"/>
      <c r="I108" s="7"/>
      <c r="J108" s="7"/>
      <c r="K108" s="7"/>
      <c r="L108" s="7"/>
      <c r="M108" s="7"/>
      <c r="N108" s="7"/>
      <c r="O108" s="7"/>
      <c r="P108" s="7"/>
      <c r="Q108" s="7"/>
      <c r="R108" s="7"/>
      <c r="S108" s="7"/>
      <c r="T108" s="7"/>
      <c r="U108" s="7"/>
      <c r="V108" s="7"/>
      <c r="W108" s="7"/>
      <c r="X108" s="7"/>
      <c r="Y108" s="7"/>
      <c r="Z108" s="7"/>
    </row>
    <row r="109" spans="4:26" x14ac:dyDescent="0.35">
      <c r="D109" s="7"/>
      <c r="E109" s="7"/>
      <c r="F109" s="7"/>
      <c r="G109" s="7"/>
      <c r="H109" s="7"/>
      <c r="I109" s="7"/>
      <c r="J109" s="7"/>
      <c r="K109" s="7"/>
      <c r="L109" s="7"/>
      <c r="M109" s="7"/>
      <c r="N109" s="7"/>
      <c r="O109" s="7"/>
      <c r="P109" s="7"/>
      <c r="Q109" s="7"/>
      <c r="R109" s="7"/>
      <c r="S109" s="7"/>
      <c r="T109" s="7"/>
      <c r="U109" s="7"/>
      <c r="V109" s="7"/>
      <c r="W109" s="7"/>
      <c r="X109" s="7"/>
      <c r="Y109" s="7"/>
      <c r="Z109" s="7"/>
    </row>
    <row r="110" spans="4:26" x14ac:dyDescent="0.35">
      <c r="D110" s="7"/>
      <c r="E110" s="7"/>
      <c r="F110" s="7"/>
      <c r="G110" s="7"/>
      <c r="H110" s="7"/>
      <c r="I110" s="7"/>
      <c r="J110" s="7"/>
      <c r="K110" s="7"/>
      <c r="L110" s="7"/>
      <c r="M110" s="7"/>
      <c r="N110" s="7"/>
      <c r="O110" s="7"/>
      <c r="P110" s="7"/>
      <c r="Q110" s="7"/>
      <c r="R110" s="7"/>
      <c r="S110" s="7"/>
      <c r="T110" s="7"/>
      <c r="U110" s="7"/>
      <c r="V110" s="7"/>
      <c r="W110" s="7"/>
      <c r="X110" s="7"/>
      <c r="Y110" s="7"/>
      <c r="Z110" s="7"/>
    </row>
    <row r="111" spans="4:26" x14ac:dyDescent="0.35">
      <c r="D111" s="7"/>
      <c r="E111" s="7"/>
      <c r="F111" s="7"/>
      <c r="G111" s="7"/>
      <c r="H111" s="7"/>
      <c r="I111" s="7"/>
      <c r="J111" s="7"/>
      <c r="K111" s="7"/>
      <c r="L111" s="7"/>
      <c r="M111" s="7"/>
      <c r="N111" s="7"/>
      <c r="O111" s="7"/>
      <c r="P111" s="7"/>
      <c r="Q111" s="7"/>
      <c r="R111" s="7"/>
      <c r="S111" s="7"/>
      <c r="T111" s="7"/>
      <c r="U111" s="7"/>
      <c r="V111" s="7"/>
      <c r="W111" s="7"/>
      <c r="X111" s="7"/>
      <c r="Y111" s="7"/>
      <c r="Z111" s="7"/>
    </row>
    <row r="112" spans="4:26" x14ac:dyDescent="0.35">
      <c r="D112" s="7"/>
      <c r="E112" s="7"/>
      <c r="F112" s="7"/>
      <c r="G112" s="7"/>
      <c r="H112" s="7"/>
      <c r="I112" s="7"/>
      <c r="J112" s="7"/>
      <c r="K112" s="7"/>
      <c r="L112" s="7"/>
      <c r="M112" s="7"/>
      <c r="N112" s="7"/>
      <c r="O112" s="7"/>
      <c r="P112" s="7"/>
      <c r="Q112" s="7"/>
      <c r="R112" s="7"/>
      <c r="S112" s="7"/>
      <c r="T112" s="7"/>
      <c r="U112" s="7"/>
      <c r="V112" s="7"/>
      <c r="W112" s="7"/>
      <c r="X112" s="7"/>
      <c r="Y112" s="7"/>
      <c r="Z112" s="7"/>
    </row>
    <row r="113" spans="4:26" x14ac:dyDescent="0.35">
      <c r="D113" s="7"/>
      <c r="E113" s="7"/>
      <c r="F113" s="7"/>
      <c r="G113" s="7"/>
      <c r="H113" s="7"/>
      <c r="I113" s="7"/>
      <c r="J113" s="7"/>
      <c r="K113" s="7"/>
      <c r="L113" s="7"/>
      <c r="M113" s="7"/>
      <c r="N113" s="7"/>
      <c r="O113" s="7"/>
      <c r="P113" s="7"/>
      <c r="Q113" s="7"/>
      <c r="R113" s="7"/>
      <c r="S113" s="7"/>
      <c r="T113" s="7"/>
      <c r="U113" s="7"/>
      <c r="V113" s="7"/>
      <c r="W113" s="7"/>
      <c r="X113" s="7"/>
      <c r="Y113" s="7"/>
      <c r="Z113" s="7"/>
    </row>
    <row r="114" spans="4:26" x14ac:dyDescent="0.35">
      <c r="D114" s="7"/>
      <c r="E114" s="7"/>
      <c r="F114" s="7"/>
      <c r="G114" s="7"/>
      <c r="H114" s="7"/>
      <c r="I114" s="7"/>
      <c r="J114" s="7"/>
      <c r="K114" s="7"/>
      <c r="L114" s="7"/>
      <c r="M114" s="7"/>
      <c r="N114" s="7"/>
      <c r="O114" s="7"/>
      <c r="P114" s="7"/>
      <c r="Q114" s="7"/>
      <c r="R114" s="7"/>
      <c r="S114" s="7"/>
      <c r="T114" s="7"/>
      <c r="U114" s="7"/>
      <c r="V114" s="7"/>
      <c r="W114" s="7"/>
      <c r="X114" s="7"/>
      <c r="Y114" s="7"/>
      <c r="Z114" s="7"/>
    </row>
  </sheetData>
  <conditionalFormatting sqref="V14:V24">
    <cfRule type="dataBar" priority="2">
      <dataBar>
        <cfvo type="min"/>
        <cfvo type="max"/>
        <color rgb="FF008AEF"/>
      </dataBar>
      <extLst>
        <ext xmlns:x14="http://schemas.microsoft.com/office/spreadsheetml/2009/9/main" uri="{B025F937-C7B1-47D3-B67F-A62EFF666E3E}">
          <x14:id>{E8DC0DC1-20FD-4EF4-9DC5-2D0E74639884}</x14:id>
        </ext>
      </extLst>
    </cfRule>
  </conditionalFormatting>
  <conditionalFormatting sqref="U14:U24">
    <cfRule type="dataBar" priority="1">
      <dataBar>
        <cfvo type="min"/>
        <cfvo type="max"/>
        <color rgb="FF008AEF"/>
      </dataBar>
      <extLst>
        <ext xmlns:x14="http://schemas.microsoft.com/office/spreadsheetml/2009/9/main" uri="{B025F937-C7B1-47D3-B67F-A62EFF666E3E}">
          <x14:id>{35C799FF-D7BF-4CED-B52A-2A9574ECC433}</x14:id>
        </ext>
      </extLst>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x14:cfRule type="dataBar" id="{E8DC0DC1-20FD-4EF4-9DC5-2D0E74639884}">
            <x14:dataBar minLength="0" maxLength="100" border="1" negativeBarBorderColorSameAsPositive="0">
              <x14:cfvo type="autoMin"/>
              <x14:cfvo type="autoMax"/>
              <x14:borderColor rgb="FF008AEF"/>
              <x14:negativeFillColor rgb="FFFF0000"/>
              <x14:negativeBorderColor rgb="FFFF0000"/>
              <x14:axisColor rgb="FF000000"/>
            </x14:dataBar>
          </x14:cfRule>
          <xm:sqref>V14:V24</xm:sqref>
        </x14:conditionalFormatting>
        <x14:conditionalFormatting xmlns:xm="http://schemas.microsoft.com/office/excel/2006/main">
          <x14:cfRule type="dataBar" id="{35C799FF-D7BF-4CED-B52A-2A9574ECC433}">
            <x14:dataBar minLength="0" maxLength="100" border="1" negativeBarBorderColorSameAsPositive="0">
              <x14:cfvo type="autoMin"/>
              <x14:cfvo type="autoMax"/>
              <x14:borderColor rgb="FF008AEF"/>
              <x14:negativeFillColor rgb="FFFF0000"/>
              <x14:negativeBorderColor rgb="FFFF0000"/>
              <x14:axisColor rgb="FF000000"/>
            </x14:dataBar>
          </x14:cfRule>
          <xm:sqref>U14:U24</xm:sqref>
        </x14:conditionalFormatting>
      </x14:conditionalFormatting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1485FE-9419-463B-9D49-C866F799225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coinmarketcap_crypto_data (1)</vt:lpstr>
      <vt:lpstr>cleaned_data</vt:lpstr>
      <vt:lpstr>new_data</vt:lpstr>
      <vt:lpstr>Task 2</vt:lpstr>
      <vt:lpstr>Task 3</vt:lpstr>
      <vt:lpstr>task 4</vt:lpstr>
      <vt:lpstr>Task 5</vt:lpstr>
      <vt:lpstr>task 6</vt:lpstr>
      <vt:lpstr>ashboard 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Aryamaan Agarwal</dc:creator>
  <cp:lastModifiedBy>KIIT</cp:lastModifiedBy>
  <dcterms:created xsi:type="dcterms:W3CDTF">2026-02-04T08:11:19Z</dcterms:created>
  <dcterms:modified xsi:type="dcterms:W3CDTF">2026-02-13T07:14:16Z</dcterms:modified>
</cp:coreProperties>
</file>